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hipai/Documents/CFACode/Nicola/"/>
    </mc:Choice>
  </mc:AlternateContent>
  <xr:revisionPtr revIDLastSave="0" documentId="8_{ED62986D-8DCA-3249-A34E-B3E63CE504F4}" xr6:coauthVersionLast="47" xr6:coauthVersionMax="47" xr10:uidLastSave="{00000000-0000-0000-0000-000000000000}"/>
  <bookViews>
    <workbookView xWindow="10760" yWindow="1980" windowWidth="27640" windowHeight="16940" xr2:uid="{D2A109BC-5E34-814C-99F5-90FC23D8C7EF}"/>
  </bookViews>
  <sheets>
    <sheet name="Operating Model" sheetId="2" r:id="rId1"/>
    <sheet name="DCF" sheetId="3" r:id="rId2"/>
  </sheets>
  <externalReferences>
    <externalReference r:id="rId3"/>
  </externalReferences>
  <definedNames>
    <definedName name="Case_Cell">'[1]Input &amp; Assumptions'!$I$4</definedName>
    <definedName name="Case_Number">'[1]Input &amp; Assumptions'!$H$4</definedName>
    <definedName name="Company_Name">'[1]Input &amp; Assumptions'!$C$4</definedName>
    <definedName name="Current_Market_Price">'[1]Input &amp; Assumptions'!$C$11</definedName>
    <definedName name="Days_in_Year">'[1]Input &amp; Assumptions'!$H$15</definedName>
    <definedName name="Diluted_Shares_Outstanding">'[1]Input &amp; Assumptions'!$C$12</definedName>
    <definedName name="Hist_Year">'[1]Input &amp; Assumptions'!$C$6</definedName>
    <definedName name="Tax_Rate">'[1]Input &amp; Assumptions'!$H$14</definedName>
    <definedName name="Units">'[1]Input &amp; Assumptions'!$H$16</definedName>
    <definedName name="WACC">[1]WACC!$G$31</definedName>
  </definedNam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3" l="1"/>
  <c r="B38" i="3"/>
  <c r="B28" i="3"/>
  <c r="J6" i="3"/>
  <c r="I6" i="3"/>
  <c r="H6" i="3"/>
  <c r="G6" i="3"/>
  <c r="F6" i="3"/>
  <c r="L5" i="3"/>
  <c r="B5" i="3"/>
  <c r="B2" i="3"/>
  <c r="O94" i="2"/>
  <c r="N94" i="2"/>
  <c r="M94" i="2"/>
  <c r="L94" i="2"/>
  <c r="K94" i="2"/>
  <c r="J94" i="2"/>
  <c r="I94" i="2"/>
  <c r="B92" i="2"/>
  <c r="O34" i="2"/>
  <c r="N34" i="2"/>
  <c r="M34" i="2"/>
  <c r="L34" i="2"/>
  <c r="K34" i="2"/>
  <c r="J34" i="2"/>
  <c r="I34" i="2"/>
  <c r="H34" i="2"/>
  <c r="B32" i="2"/>
  <c r="O4" i="2"/>
  <c r="N4" i="2"/>
  <c r="M4" i="2"/>
  <c r="L4" i="2"/>
  <c r="K4" i="2"/>
  <c r="J4" i="2"/>
  <c r="I4" i="2"/>
  <c r="H4" i="2"/>
  <c r="B2" i="2"/>
  <c r="C3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Rohan Bhawsar</author>
  </authors>
  <commentList>
    <comment ref="B40" authorId="0" shapeId="0" xr:uid="{6C5521F8-C5FF-9C4B-8D5D-AE16857DEE04}">
      <text>
        <r>
          <rPr>
            <b/>
            <sz val="9"/>
            <color indexed="81"/>
            <rFont val="Tahoma"/>
            <family val="2"/>
          </rPr>
          <t>Rohan Bhawsar:</t>
        </r>
        <r>
          <rPr>
            <sz val="9"/>
            <color indexed="81"/>
            <rFont val="Tahoma"/>
            <family val="2"/>
          </rPr>
          <t xml:space="preserve">
Investment properties +Financial assets</t>
        </r>
      </text>
    </comment>
    <comment ref="B49" authorId="0" shapeId="0" xr:uid="{8A1AFA49-1AC2-7F4C-99F3-9D51A1E4087D}">
      <text>
        <r>
          <rPr>
            <b/>
            <sz val="9"/>
            <color indexed="81"/>
            <rFont val="Tahoma"/>
            <family val="2"/>
          </rPr>
          <t>Rohan Bhawsar:</t>
        </r>
        <r>
          <rPr>
            <sz val="9"/>
            <color indexed="81"/>
            <rFont val="Tahoma"/>
            <family val="2"/>
          </rPr>
          <t xml:space="preserve">
Cash &amp; Bank
</t>
        </r>
      </text>
    </comment>
    <comment ref="B136" authorId="0" shapeId="0" xr:uid="{13359998-020E-2042-8BAA-AE62CF32E7F5}">
      <text>
        <r>
          <rPr>
            <b/>
            <sz val="9"/>
            <color indexed="81"/>
            <rFont val="Tahoma"/>
            <family val="2"/>
          </rPr>
          <t>Rohan Bhawsar:</t>
        </r>
        <r>
          <rPr>
            <sz val="9"/>
            <color indexed="81"/>
            <rFont val="Tahoma"/>
            <family val="2"/>
          </rPr>
          <t xml:space="preserve">
Purchase of property, plant and equipment/ intangible assets/investment properties </t>
        </r>
      </text>
    </comment>
  </commentList>
</comments>
</file>

<file path=xl/sharedStrings.xml><?xml version="1.0" encoding="utf-8"?>
<sst xmlns="http://schemas.openxmlformats.org/spreadsheetml/2006/main" count="157" uniqueCount="145">
  <si>
    <t>INR Crores</t>
  </si>
  <si>
    <t>Historical</t>
  </si>
  <si>
    <t>Projected</t>
  </si>
  <si>
    <t>Total Revenue</t>
  </si>
  <si>
    <t>Cost of Revenue</t>
  </si>
  <si>
    <t>Gross Profit:</t>
  </si>
  <si>
    <t>Operating Expenses:</t>
  </si>
  <si>
    <t>Employee Expenses</t>
  </si>
  <si>
    <t>Other Expenses</t>
  </si>
  <si>
    <t>Depreciation &amp; Amortization</t>
  </si>
  <si>
    <t>Operating Income:</t>
  </si>
  <si>
    <t>Interest Income</t>
  </si>
  <si>
    <t>Other Income</t>
  </si>
  <si>
    <t>Interest Expense</t>
  </si>
  <si>
    <t>Pre-Tax Income:</t>
  </si>
  <si>
    <t>Income Tax Provision:</t>
  </si>
  <si>
    <t>Effective Income Tax Rate:</t>
  </si>
  <si>
    <t>Net Income</t>
  </si>
  <si>
    <t>Weighted Avg. Diluted Shares Outstanding:</t>
  </si>
  <si>
    <t>Diluted EPS</t>
  </si>
  <si>
    <t>EPS growth (%)</t>
  </si>
  <si>
    <t>EBITDA:</t>
  </si>
  <si>
    <t>EBITDA%</t>
  </si>
  <si>
    <t>PAT%</t>
  </si>
  <si>
    <t>Assets</t>
  </si>
  <si>
    <t>Non-current assets</t>
  </si>
  <si>
    <t>Net PP&amp;E:</t>
  </si>
  <si>
    <t>Right to use assets</t>
  </si>
  <si>
    <t>Investments:</t>
  </si>
  <si>
    <t>Goodwill:</t>
  </si>
  <si>
    <t>Net Intangible Assets:</t>
  </si>
  <si>
    <t>Income tax assets</t>
  </si>
  <si>
    <t>Other Long-Term Assets:</t>
  </si>
  <si>
    <t xml:space="preserve">  Total non-current assets</t>
  </si>
  <si>
    <t>Current Assets:</t>
  </si>
  <si>
    <t>Inventories</t>
  </si>
  <si>
    <t>Cash and Cash Equivalents:</t>
  </si>
  <si>
    <t>Current Investments</t>
  </si>
  <si>
    <t>Trade receivables</t>
  </si>
  <si>
    <t>Other current financial assets</t>
  </si>
  <si>
    <t>Other current assets</t>
  </si>
  <si>
    <t>Total Current Assets:</t>
  </si>
  <si>
    <t>Total Assets:</t>
  </si>
  <si>
    <t>Equity and liabilities</t>
  </si>
  <si>
    <t>Equity:</t>
  </si>
  <si>
    <t>Equity share capital</t>
  </si>
  <si>
    <t>Reserves &amp; surplus</t>
  </si>
  <si>
    <t>Non-controlling interest</t>
  </si>
  <si>
    <t>Total Equity:</t>
  </si>
  <si>
    <t>Liabilities</t>
  </si>
  <si>
    <t>Non-current liabilities</t>
  </si>
  <si>
    <t>Long Term Borrowings</t>
  </si>
  <si>
    <t>Lease liability</t>
  </si>
  <si>
    <t>Other non-current financial liabilities</t>
  </si>
  <si>
    <t>Provisions</t>
  </si>
  <si>
    <t>Deferred tax liabilities (net)</t>
  </si>
  <si>
    <t>Total non-current liabilities</t>
  </si>
  <si>
    <t>Current Liabilities:</t>
  </si>
  <si>
    <t>Short Term Borrowings:</t>
  </si>
  <si>
    <t>Trade payable</t>
  </si>
  <si>
    <t>Other current financial liabilities</t>
  </si>
  <si>
    <t>Current tax liabilities (Net)</t>
  </si>
  <si>
    <t>Other current liabilities</t>
  </si>
  <si>
    <t>Total Current Liabilities:</t>
  </si>
  <si>
    <t>Total equity and liabilities</t>
  </si>
  <si>
    <t>Balance Check</t>
  </si>
  <si>
    <t>Cash Flow from Operations:</t>
  </si>
  <si>
    <t>Net Income before tax:</t>
  </si>
  <si>
    <t>Adjustments to Reconcile Net Income:</t>
  </si>
  <si>
    <t xml:space="preserve">Depreciation and amortization expense </t>
  </si>
  <si>
    <t xml:space="preserve">Interest income </t>
  </si>
  <si>
    <t xml:space="preserve">Profit on sale of investments </t>
  </si>
  <si>
    <t xml:space="preserve">Expense on employee stock option scheme </t>
  </si>
  <si>
    <t xml:space="preserve">Rent income </t>
  </si>
  <si>
    <t>Gains/loss from Sale of Investments &amp; Assets:</t>
  </si>
  <si>
    <t>Operating profit before working capital changes</t>
  </si>
  <si>
    <t>Changes in Operating Assets/Liabilities:</t>
  </si>
  <si>
    <t xml:space="preserve">Increase/(decrease) in trade payables </t>
  </si>
  <si>
    <t xml:space="preserve">Decrease in current provisions </t>
  </si>
  <si>
    <t xml:space="preserve">Increase/(decrease) in other current financial liabilities </t>
  </si>
  <si>
    <t xml:space="preserve">Increase/(decrease) in other current liabilities </t>
  </si>
  <si>
    <t xml:space="preserve">Increase in non-current provisions </t>
  </si>
  <si>
    <t xml:space="preserve">Decrease in other non-current financial liabilities </t>
  </si>
  <si>
    <t xml:space="preserve">(Increase)/decrease in trade receivables </t>
  </si>
  <si>
    <t xml:space="preserve">Increase in inventories </t>
  </si>
  <si>
    <t xml:space="preserve">(Increase)/Decrease in current investments </t>
  </si>
  <si>
    <t xml:space="preserve">(Increase)/decrease in other non-current financial assets </t>
  </si>
  <si>
    <t xml:space="preserve">Increase in other current assets </t>
  </si>
  <si>
    <t xml:space="preserve">(Increase)/ decrease in other current financial assets </t>
  </si>
  <si>
    <t>Total Changes in Operating Assets/Liabilities:</t>
  </si>
  <si>
    <t>Direct taxes paid</t>
  </si>
  <si>
    <t xml:space="preserve">Net cash flow from operating activities </t>
  </si>
  <si>
    <t>Cash Flow from Investing:</t>
  </si>
  <si>
    <t xml:space="preserve">Proceeds from disposal of property plant and equipment </t>
  </si>
  <si>
    <t xml:space="preserve">Realisation from FDs of IPO proceeds </t>
  </si>
  <si>
    <t xml:space="preserve">Realisation from FDs of QIP proceeds </t>
  </si>
  <si>
    <t xml:space="preserve">Interest received </t>
  </si>
  <si>
    <t xml:space="preserve">Gain on sale of investments </t>
  </si>
  <si>
    <t xml:space="preserve">Rent income received </t>
  </si>
  <si>
    <t>Capital Expenditures</t>
  </si>
  <si>
    <t xml:space="preserve">QIP proceeds deposited in FDs </t>
  </si>
  <si>
    <t xml:space="preserve">Net cash flow used in investing activities </t>
  </si>
  <si>
    <t>Cash Flow from Financing:</t>
  </si>
  <si>
    <t xml:space="preserve">Proceeds from issue of QIP (net of expenses) </t>
  </si>
  <si>
    <t xml:space="preserve">Proceeds from of exercise of share options </t>
  </si>
  <si>
    <t xml:space="preserve">Proceeds from long term borrowings </t>
  </si>
  <si>
    <t xml:space="preserve">Proceeds from short term borrowings </t>
  </si>
  <si>
    <t xml:space="preserve">Proceeds from commercial papers </t>
  </si>
  <si>
    <t xml:space="preserve">Proceeds of non convertible debentures </t>
  </si>
  <si>
    <t xml:space="preserve">Repayment of long term borrowings </t>
  </si>
  <si>
    <t xml:space="preserve">Repayment of short term borrowings </t>
  </si>
  <si>
    <t xml:space="preserve">Repayment of commercial papers </t>
  </si>
  <si>
    <t xml:space="preserve">Repayment of non convertible debentures </t>
  </si>
  <si>
    <t xml:space="preserve">Payment of lease liability </t>
  </si>
  <si>
    <t xml:space="preserve">Interest paid </t>
  </si>
  <si>
    <t>Net Cash Used in Financing Activities:</t>
  </si>
  <si>
    <t>Net Change in Cash &amp; Cash Equivalents:</t>
  </si>
  <si>
    <t>Beginning Cash &amp; Cash Equivalents Balance:</t>
  </si>
  <si>
    <t>Ending Cash &amp; Cash Equivalents Balance:</t>
  </si>
  <si>
    <t>(INR in Crores, Except Per Share Amounts in INR and Share Counts in Crores)</t>
  </si>
  <si>
    <t>Revenue:</t>
  </si>
  <si>
    <t>Use Multiples Method?</t>
  </si>
  <si>
    <t>Discount Rate:</t>
  </si>
  <si>
    <t>Terminal EBITDA Multiple:</t>
  </si>
  <si>
    <t>Less: Taxes</t>
  </si>
  <si>
    <t>Terminal Growth Rate:</t>
  </si>
  <si>
    <t>Terminal Value:</t>
  </si>
  <si>
    <t>Plus: Depreciation</t>
  </si>
  <si>
    <t>PV of Terminal Value:</t>
  </si>
  <si>
    <t>Less: Changes in Working Capital:</t>
  </si>
  <si>
    <t>Sum of PV of Cash Flows:</t>
  </si>
  <si>
    <t>Less: Capital Expenditures</t>
  </si>
  <si>
    <t>Enterprise Value:</t>
  </si>
  <si>
    <t>Unlevered Free Cash Flow</t>
  </si>
  <si>
    <t>Terminal Value % EV:</t>
  </si>
  <si>
    <t>Present Value of Free Cash Flow</t>
  </si>
  <si>
    <t>Normal Discount Period:</t>
  </si>
  <si>
    <t>Balance Sheet Adjustment:</t>
  </si>
  <si>
    <t>Mid-Year Discount:</t>
  </si>
  <si>
    <t>Implied Equity Value:</t>
  </si>
  <si>
    <t>Free Cash Flow Growth Rate:</t>
  </si>
  <si>
    <t>Implied Price Per Share:</t>
  </si>
  <si>
    <t>Discount Rate</t>
  </si>
  <si>
    <t>Terminal Growth Rate</t>
  </si>
  <si>
    <t>Terminal EBITDA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</si>
</sst>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0.0%"/>
    <numFmt numFmtId="167" formatCode="0.0%;[Red]\(0.0%\)"/>
    <numFmt numFmtId="168" formatCode="_ * #,##0.0_ ;_ * \-#,##0.0_ ;_ * &quot;-&quot;??_ ;_ @_ "/>
    <numFmt numFmtId="169" formatCode="&quot;$&quot;#,##0"/>
    <numFmt numFmtId="170" formatCode="0.0"/>
    <numFmt numFmtId="171" formatCode="&quot;$&quot;#,##0_);\(&quot;$&quot;#,##0\);&quot;OK!&quot;;&quot;ERROR&quot;"/>
    <numFmt numFmtId="172" formatCode="&quot;&quot;#,##0_);\(&quot;&quot;#,##0\)"/>
    <numFmt numFmtId="173" formatCode="0.000"/>
    <numFmt numFmtId="174" formatCode="&quot;Yes&quot;;&quot;Yes&quot;;&quot;No&quot;"/>
    <numFmt numFmtId="175" formatCode="_(&quot;$&quot;* #,##0.0_);_(&quot;$&quot;* \(#,##0.0\);_(&quot;$&quot;* &quot;-&quot;?_);_(@_)"/>
    <numFmt numFmtId="176" formatCode="0.0\ \x"/>
    <numFmt numFmtId="177" formatCode="0.0%;\(0.0%\)"/>
  </numFmts>
  <fonts count="2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u/>
      <sz val="10"/>
      <color indexed="9"/>
      <name val="Arial"/>
      <family val="2"/>
    </font>
    <font>
      <u/>
      <sz val="10"/>
      <color indexed="9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0070C0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  <font>
      <i/>
      <sz val="10"/>
      <color rgb="FF0070C0"/>
      <name val="Arial"/>
      <family val="2"/>
    </font>
    <font>
      <sz val="10"/>
      <color theme="0"/>
      <name val="Arial"/>
      <family val="2"/>
    </font>
    <font>
      <sz val="10"/>
      <color theme="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450666829432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</cellStyleXfs>
  <cellXfs count="269">
    <xf numFmtId="0" fontId="0" fillId="0" borderId="0" xfId="0"/>
    <xf numFmtId="0" fontId="2" fillId="2" borderId="1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right"/>
    </xf>
    <xf numFmtId="0" fontId="1" fillId="3" borderId="0" xfId="1" applyFill="1"/>
    <xf numFmtId="0" fontId="1" fillId="0" borderId="4" xfId="1" applyBorder="1"/>
    <xf numFmtId="0" fontId="1" fillId="0" borderId="0" xfId="1"/>
    <xf numFmtId="0" fontId="5" fillId="0" borderId="5" xfId="1" applyFont="1" applyBorder="1" applyAlignment="1">
      <alignment horizontal="centerContinuous"/>
    </xf>
    <xf numFmtId="0" fontId="5" fillId="0" borderId="6" xfId="1" applyFont="1" applyBorder="1" applyAlignment="1">
      <alignment horizontal="centerContinuous"/>
    </xf>
    <xf numFmtId="0" fontId="6" fillId="0" borderId="2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/>
    </xf>
    <xf numFmtId="6" fontId="7" fillId="0" borderId="0" xfId="1" applyNumberFormat="1" applyFont="1"/>
    <xf numFmtId="0" fontId="7" fillId="0" borderId="0" xfId="1" applyFont="1" applyAlignment="1">
      <alignment horizontal="center"/>
    </xf>
    <xf numFmtId="0" fontId="7" fillId="0" borderId="7" xfId="1" applyFont="1" applyBorder="1" applyAlignment="1">
      <alignment horizontal="center"/>
    </xf>
    <xf numFmtId="0" fontId="6" fillId="0" borderId="4" xfId="1" applyFont="1" applyBorder="1"/>
    <xf numFmtId="165" fontId="8" fillId="0" borderId="0" xfId="2" applyNumberFormat="1" applyFont="1"/>
    <xf numFmtId="165" fontId="8" fillId="0" borderId="7" xfId="2" applyNumberFormat="1" applyFont="1" applyBorder="1"/>
    <xf numFmtId="165" fontId="9" fillId="0" borderId="0" xfId="2" applyNumberFormat="1" applyFont="1"/>
    <xf numFmtId="165" fontId="9" fillId="0" borderId="7" xfId="2" applyNumberFormat="1" applyFont="1" applyBorder="1"/>
    <xf numFmtId="0" fontId="6" fillId="0" borderId="4" xfId="1" applyFont="1" applyBorder="1" applyAlignment="1">
      <alignment horizontal="left" indent="1"/>
    </xf>
    <xf numFmtId="165" fontId="6" fillId="0" borderId="0" xfId="2" applyNumberFormat="1" applyFont="1"/>
    <xf numFmtId="165" fontId="6" fillId="0" borderId="0" xfId="2" applyNumberFormat="1" applyFont="1" applyBorder="1"/>
    <xf numFmtId="165" fontId="8" fillId="0" borderId="4" xfId="2" applyNumberFormat="1" applyFont="1" applyBorder="1"/>
    <xf numFmtId="0" fontId="1" fillId="0" borderId="7" xfId="1" applyBorder="1"/>
    <xf numFmtId="0" fontId="1" fillId="0" borderId="4" xfId="1" applyBorder="1" applyAlignment="1">
      <alignment horizontal="left" indent="1"/>
    </xf>
    <xf numFmtId="6" fontId="10" fillId="0" borderId="0" xfId="1" applyNumberFormat="1" applyFont="1"/>
    <xf numFmtId="6" fontId="10" fillId="0" borderId="4" xfId="1" applyNumberFormat="1" applyFont="1" applyBorder="1"/>
    <xf numFmtId="6" fontId="10" fillId="0" borderId="7" xfId="1" applyNumberFormat="1" applyFont="1" applyBorder="1"/>
    <xf numFmtId="0" fontId="6" fillId="0" borderId="4" xfId="1" applyFont="1" applyBorder="1" applyAlignment="1">
      <alignment horizontal="left"/>
    </xf>
    <xf numFmtId="165" fontId="9" fillId="0" borderId="0" xfId="2" applyNumberFormat="1" applyFont="1" applyBorder="1"/>
    <xf numFmtId="165" fontId="5" fillId="0" borderId="4" xfId="2" applyNumberFormat="1" applyFont="1" applyBorder="1"/>
    <xf numFmtId="165" fontId="5" fillId="0" borderId="0" xfId="2" applyNumberFormat="1" applyFont="1"/>
    <xf numFmtId="165" fontId="5" fillId="0" borderId="7" xfId="2" applyNumberFormat="1" applyFont="1" applyBorder="1"/>
    <xf numFmtId="9" fontId="0" fillId="3" borderId="0" xfId="3" applyFont="1" applyFill="1"/>
    <xf numFmtId="164" fontId="5" fillId="0" borderId="4" xfId="2" applyFont="1" applyBorder="1"/>
    <xf numFmtId="164" fontId="5" fillId="0" borderId="0" xfId="2" applyFont="1"/>
    <xf numFmtId="164" fontId="5" fillId="0" borderId="7" xfId="2" applyFont="1" applyBorder="1"/>
    <xf numFmtId="0" fontId="6" fillId="0" borderId="1" xfId="1" applyFont="1" applyBorder="1" applyAlignment="1">
      <alignment horizontal="left"/>
    </xf>
    <xf numFmtId="0" fontId="1" fillId="0" borderId="2" xfId="1" applyBorder="1"/>
    <xf numFmtId="165" fontId="6" fillId="0" borderId="2" xfId="2" applyNumberFormat="1" applyFont="1" applyBorder="1"/>
    <xf numFmtId="165" fontId="8" fillId="0" borderId="1" xfId="2" applyNumberFormat="1" applyFont="1" applyBorder="1"/>
    <xf numFmtId="165" fontId="8" fillId="0" borderId="2" xfId="2" applyNumberFormat="1" applyFont="1" applyBorder="1"/>
    <xf numFmtId="165" fontId="8" fillId="0" borderId="3" xfId="2" applyNumberFormat="1" applyFont="1" applyBorder="1"/>
    <xf numFmtId="0" fontId="1" fillId="0" borderId="4" xfId="1" applyBorder="1" applyAlignment="1">
      <alignment horizontal="left"/>
    </xf>
    <xf numFmtId="166" fontId="11" fillId="0" borderId="0" xfId="3" applyNumberFormat="1" applyFont="1" applyBorder="1"/>
    <xf numFmtId="167" fontId="11" fillId="0" borderId="4" xfId="1" applyNumberFormat="1" applyFont="1" applyBorder="1"/>
    <xf numFmtId="167" fontId="11" fillId="0" borderId="0" xfId="1" applyNumberFormat="1" applyFont="1"/>
    <xf numFmtId="167" fontId="11" fillId="0" borderId="7" xfId="1" applyNumberFormat="1" applyFont="1" applyBorder="1"/>
    <xf numFmtId="0" fontId="6" fillId="0" borderId="1" xfId="1" applyFont="1" applyBorder="1" applyAlignment="1">
      <alignment horizontal="left" indent="1"/>
    </xf>
    <xf numFmtId="165" fontId="6" fillId="0" borderId="1" xfId="2" applyNumberFormat="1" applyFont="1" applyBorder="1"/>
    <xf numFmtId="165" fontId="6" fillId="0" borderId="3" xfId="2" applyNumberFormat="1" applyFont="1" applyBorder="1"/>
    <xf numFmtId="1" fontId="1" fillId="3" borderId="0" xfId="1" applyNumberFormat="1" applyFill="1"/>
    <xf numFmtId="3" fontId="9" fillId="0" borderId="0" xfId="1" applyNumberFormat="1" applyFont="1"/>
    <xf numFmtId="38" fontId="9" fillId="0" borderId="0" xfId="1" applyNumberFormat="1" applyFont="1"/>
    <xf numFmtId="38" fontId="5" fillId="0" borderId="4" xfId="1" applyNumberFormat="1" applyFont="1" applyBorder="1"/>
    <xf numFmtId="38" fontId="5" fillId="0" borderId="0" xfId="1" applyNumberFormat="1" applyFont="1"/>
    <xf numFmtId="38" fontId="5" fillId="0" borderId="7" xfId="1" applyNumberFormat="1" applyFont="1" applyBorder="1"/>
    <xf numFmtId="168" fontId="6" fillId="0" borderId="0" xfId="2" applyNumberFormat="1" applyFont="1"/>
    <xf numFmtId="168" fontId="6" fillId="0" borderId="0" xfId="2" applyNumberFormat="1" applyFont="1" applyBorder="1"/>
    <xf numFmtId="168" fontId="8" fillId="0" borderId="4" xfId="2" applyNumberFormat="1" applyFont="1" applyBorder="1"/>
    <xf numFmtId="168" fontId="8" fillId="0" borderId="0" xfId="2" applyNumberFormat="1" applyFont="1"/>
    <xf numFmtId="168" fontId="8" fillId="0" borderId="7" xfId="2" applyNumberFormat="1" applyFont="1" applyBorder="1"/>
    <xf numFmtId="0" fontId="12" fillId="0" borderId="4" xfId="1" applyFont="1" applyBorder="1" applyAlignment="1">
      <alignment horizontal="left" indent="1"/>
    </xf>
    <xf numFmtId="9" fontId="12" fillId="0" borderId="0" xfId="3" applyFont="1"/>
    <xf numFmtId="9" fontId="12" fillId="0" borderId="4" xfId="3" applyFont="1" applyBorder="1"/>
    <xf numFmtId="0" fontId="1" fillId="3" borderId="4" xfId="1" applyFill="1" applyBorder="1"/>
    <xf numFmtId="165" fontId="6" fillId="0" borderId="4" xfId="2" applyNumberFormat="1" applyFont="1" applyBorder="1"/>
    <xf numFmtId="165" fontId="6" fillId="0" borderId="7" xfId="2" applyNumberFormat="1" applyFont="1" applyBorder="1"/>
    <xf numFmtId="0" fontId="12" fillId="0" borderId="0" xfId="1" applyFont="1"/>
    <xf numFmtId="166" fontId="12" fillId="0" borderId="0" xfId="3" applyNumberFormat="1" applyFont="1"/>
    <xf numFmtId="166" fontId="12" fillId="0" borderId="0" xfId="3" applyNumberFormat="1" applyFont="1" applyBorder="1"/>
    <xf numFmtId="166" fontId="11" fillId="0" borderId="4" xfId="3" applyNumberFormat="1" applyFont="1" applyBorder="1"/>
    <xf numFmtId="166" fontId="11" fillId="0" borderId="0" xfId="3" applyNumberFormat="1" applyFont="1"/>
    <xf numFmtId="166" fontId="11" fillId="0" borderId="7" xfId="3" applyNumberFormat="1" applyFont="1" applyBorder="1"/>
    <xf numFmtId="166" fontId="0" fillId="0" borderId="0" xfId="3" applyNumberFormat="1" applyFont="1"/>
    <xf numFmtId="10" fontId="6" fillId="0" borderId="0" xfId="3" applyNumberFormat="1" applyFont="1"/>
    <xf numFmtId="10" fontId="6" fillId="0" borderId="0" xfId="3" applyNumberFormat="1" applyFont="1" applyBorder="1"/>
    <xf numFmtId="10" fontId="8" fillId="0" borderId="4" xfId="3" applyNumberFormat="1" applyFont="1" applyBorder="1"/>
    <xf numFmtId="10" fontId="8" fillId="0" borderId="0" xfId="3" applyNumberFormat="1" applyFont="1"/>
    <xf numFmtId="10" fontId="8" fillId="0" borderId="7" xfId="3" applyNumberFormat="1" applyFont="1" applyBorder="1"/>
    <xf numFmtId="0" fontId="12" fillId="0" borderId="8" xfId="1" applyFont="1" applyBorder="1" applyAlignment="1">
      <alignment horizontal="left" indent="1"/>
    </xf>
    <xf numFmtId="0" fontId="12" fillId="0" borderId="5" xfId="1" applyFont="1" applyBorder="1"/>
    <xf numFmtId="166" fontId="12" fillId="0" borderId="5" xfId="3" applyNumberFormat="1" applyFont="1" applyBorder="1"/>
    <xf numFmtId="166" fontId="11" fillId="0" borderId="8" xfId="3" applyNumberFormat="1" applyFont="1" applyBorder="1"/>
    <xf numFmtId="166" fontId="11" fillId="0" borderId="5" xfId="3" applyNumberFormat="1" applyFont="1" applyBorder="1"/>
    <xf numFmtId="166" fontId="11" fillId="0" borderId="6" xfId="3" applyNumberFormat="1" applyFont="1" applyBorder="1"/>
    <xf numFmtId="0" fontId="12" fillId="3" borderId="0" xfId="1" applyFont="1" applyFill="1"/>
    <xf numFmtId="0" fontId="12" fillId="3" borderId="0" xfId="1" applyFont="1" applyFill="1" applyAlignment="1">
      <alignment horizontal="left" indent="1"/>
    </xf>
    <xf numFmtId="166" fontId="12" fillId="3" borderId="0" xfId="3" applyNumberFormat="1" applyFont="1" applyFill="1" applyBorder="1"/>
    <xf numFmtId="166" fontId="11" fillId="3" borderId="0" xfId="3" applyNumberFormat="1" applyFont="1" applyFill="1" applyBorder="1"/>
    <xf numFmtId="0" fontId="6" fillId="3" borderId="0" xfId="1" applyFont="1" applyFill="1" applyAlignment="1">
      <alignment horizontal="left" indent="1"/>
    </xf>
    <xf numFmtId="6" fontId="6" fillId="3" borderId="0" xfId="1" applyNumberFormat="1" applyFont="1" applyFill="1"/>
    <xf numFmtId="6" fontId="8" fillId="3" borderId="0" xfId="1" applyNumberFormat="1" applyFont="1" applyFill="1"/>
    <xf numFmtId="165" fontId="5" fillId="0" borderId="0" xfId="2" applyNumberFormat="1" applyFont="1" applyBorder="1"/>
    <xf numFmtId="165" fontId="0" fillId="0" borderId="0" xfId="2" applyNumberFormat="1" applyFont="1" applyBorder="1"/>
    <xf numFmtId="0" fontId="6" fillId="0" borderId="0" xfId="1" applyFont="1"/>
    <xf numFmtId="0" fontId="6" fillId="3" borderId="0" xfId="1" applyFont="1" applyFill="1"/>
    <xf numFmtId="6" fontId="1" fillId="0" borderId="0" xfId="1" applyNumberFormat="1"/>
    <xf numFmtId="6" fontId="1" fillId="0" borderId="7" xfId="1" applyNumberFormat="1" applyBorder="1"/>
    <xf numFmtId="3" fontId="9" fillId="0" borderId="7" xfId="1" applyNumberFormat="1" applyFont="1" applyBorder="1"/>
    <xf numFmtId="165" fontId="0" fillId="0" borderId="7" xfId="2" applyNumberFormat="1" applyFont="1" applyBorder="1"/>
    <xf numFmtId="3" fontId="1" fillId="3" borderId="0" xfId="1" applyNumberFormat="1" applyFill="1"/>
    <xf numFmtId="165" fontId="5" fillId="0" borderId="6" xfId="2" applyNumberFormat="1" applyFont="1" applyBorder="1"/>
    <xf numFmtId="0" fontId="6" fillId="0" borderId="4" xfId="1" applyFont="1" applyBorder="1" applyAlignment="1">
      <alignment horizontal="left" indent="2"/>
    </xf>
    <xf numFmtId="0" fontId="6" fillId="0" borderId="9" xfId="1" applyFont="1" applyBorder="1" applyAlignment="1">
      <alignment horizontal="left"/>
    </xf>
    <xf numFmtId="0" fontId="1" fillId="0" borderId="10" xfId="1" applyBorder="1"/>
    <xf numFmtId="165" fontId="6" fillId="0" borderId="10" xfId="2" applyNumberFormat="1" applyFont="1" applyBorder="1"/>
    <xf numFmtId="165" fontId="6" fillId="0" borderId="11" xfId="2" applyNumberFormat="1" applyFont="1" applyBorder="1"/>
    <xf numFmtId="165" fontId="8" fillId="0" borderId="9" xfId="2" applyNumberFormat="1" applyFont="1" applyBorder="1"/>
    <xf numFmtId="165" fontId="8" fillId="0" borderId="10" xfId="2" applyNumberFormat="1" applyFont="1" applyBorder="1"/>
    <xf numFmtId="165" fontId="8" fillId="0" borderId="11" xfId="2" applyNumberFormat="1" applyFont="1" applyBorder="1"/>
    <xf numFmtId="169" fontId="1" fillId="0" borderId="0" xfId="1" applyNumberFormat="1"/>
    <xf numFmtId="0" fontId="1" fillId="0" borderId="3" xfId="1" applyBorder="1"/>
    <xf numFmtId="169" fontId="1" fillId="0" borderId="7" xfId="1" applyNumberFormat="1" applyBorder="1"/>
    <xf numFmtId="164" fontId="1" fillId="0" borderId="7" xfId="1" applyNumberFormat="1" applyBorder="1"/>
    <xf numFmtId="165" fontId="1" fillId="0" borderId="0" xfId="1" applyNumberFormat="1"/>
    <xf numFmtId="165" fontId="1" fillId="0" borderId="7" xfId="1" applyNumberFormat="1" applyBorder="1"/>
    <xf numFmtId="165" fontId="9" fillId="0" borderId="0" xfId="2" applyNumberFormat="1" applyFont="1" applyFill="1" applyBorder="1"/>
    <xf numFmtId="0" fontId="6" fillId="0" borderId="9" xfId="1" applyFont="1" applyBorder="1"/>
    <xf numFmtId="0" fontId="1" fillId="3" borderId="8" xfId="1" applyFill="1" applyBorder="1"/>
    <xf numFmtId="0" fontId="1" fillId="3" borderId="5" xfId="1" applyFill="1" applyBorder="1"/>
    <xf numFmtId="0" fontId="1" fillId="3" borderId="6" xfId="1" applyFill="1" applyBorder="1"/>
    <xf numFmtId="0" fontId="13" fillId="3" borderId="0" xfId="1" applyFont="1" applyFill="1"/>
    <xf numFmtId="170" fontId="1" fillId="3" borderId="0" xfId="1" applyNumberFormat="1" applyFill="1"/>
    <xf numFmtId="10" fontId="0" fillId="3" borderId="0" xfId="3" applyNumberFormat="1" applyFont="1" applyFill="1"/>
    <xf numFmtId="171" fontId="1" fillId="3" borderId="0" xfId="1" applyNumberFormat="1" applyFill="1"/>
    <xf numFmtId="0" fontId="6" fillId="0" borderId="3" xfId="1" applyFont="1" applyBorder="1" applyAlignment="1">
      <alignment horizontal="center"/>
    </xf>
    <xf numFmtId="6" fontId="6" fillId="0" borderId="0" xfId="1" applyNumberFormat="1" applyFont="1" applyAlignment="1">
      <alignment horizontal="center"/>
    </xf>
    <xf numFmtId="172" fontId="9" fillId="0" borderId="0" xfId="1" applyNumberFormat="1" applyFont="1"/>
    <xf numFmtId="172" fontId="9" fillId="0" borderId="7" xfId="1" applyNumberFormat="1" applyFont="1" applyBorder="1"/>
    <xf numFmtId="165" fontId="8" fillId="0" borderId="0" xfId="2" applyNumberFormat="1" applyFont="1" applyBorder="1"/>
    <xf numFmtId="172" fontId="5" fillId="0" borderId="0" xfId="1" applyNumberFormat="1" applyFont="1"/>
    <xf numFmtId="172" fontId="5" fillId="0" borderId="7" xfId="1" applyNumberFormat="1" applyFont="1" applyBorder="1"/>
    <xf numFmtId="5" fontId="5" fillId="0" borderId="0" xfId="1" applyNumberFormat="1" applyFont="1"/>
    <xf numFmtId="5" fontId="5" fillId="0" borderId="7" xfId="1" applyNumberFormat="1" applyFont="1" applyBorder="1"/>
    <xf numFmtId="5" fontId="9" fillId="0" borderId="0" xfId="1" applyNumberFormat="1" applyFont="1"/>
    <xf numFmtId="5" fontId="9" fillId="0" borderId="7" xfId="1" applyNumberFormat="1" applyFont="1" applyBorder="1"/>
    <xf numFmtId="0" fontId="1" fillId="0" borderId="4" xfId="1" applyBorder="1" applyAlignment="1">
      <alignment horizontal="left" indent="2"/>
    </xf>
    <xf numFmtId="172" fontId="8" fillId="0" borderId="0" xfId="1" applyNumberFormat="1" applyFont="1"/>
    <xf numFmtId="172" fontId="8" fillId="0" borderId="4" xfId="1" applyNumberFormat="1" applyFont="1" applyBorder="1"/>
    <xf numFmtId="172" fontId="8" fillId="0" borderId="7" xfId="1" applyNumberFormat="1" applyFont="1" applyBorder="1"/>
    <xf numFmtId="5" fontId="8" fillId="0" borderId="0" xfId="1" applyNumberFormat="1" applyFont="1"/>
    <xf numFmtId="5" fontId="8" fillId="0" borderId="7" xfId="1" applyNumberFormat="1" applyFont="1" applyBorder="1"/>
    <xf numFmtId="0" fontId="6" fillId="0" borderId="9" xfId="1" applyFont="1" applyBorder="1" applyAlignment="1">
      <alignment horizontal="left" indent="2"/>
    </xf>
    <xf numFmtId="4" fontId="1" fillId="0" borderId="10" xfId="1" applyNumberFormat="1" applyBorder="1"/>
    <xf numFmtId="172" fontId="8" fillId="0" borderId="10" xfId="1" applyNumberFormat="1" applyFont="1" applyBorder="1"/>
    <xf numFmtId="172" fontId="8" fillId="0" borderId="11" xfId="1" applyNumberFormat="1" applyFont="1" applyBorder="1"/>
    <xf numFmtId="5" fontId="1" fillId="0" borderId="0" xfId="1" applyNumberFormat="1"/>
    <xf numFmtId="1" fontId="1" fillId="0" borderId="0" xfId="1" applyNumberFormat="1"/>
    <xf numFmtId="1" fontId="1" fillId="0" borderId="7" xfId="1" applyNumberFormat="1" applyBorder="1"/>
    <xf numFmtId="172" fontId="9" fillId="0" borderId="6" xfId="1" applyNumberFormat="1" applyFont="1" applyBorder="1"/>
    <xf numFmtId="0" fontId="8" fillId="0" borderId="9" xfId="1" applyFont="1" applyBorder="1"/>
    <xf numFmtId="0" fontId="8" fillId="0" borderId="10" xfId="1" applyFont="1" applyBorder="1"/>
    <xf numFmtId="0" fontId="8" fillId="3" borderId="0" xfId="1" applyFont="1" applyFill="1"/>
    <xf numFmtId="4" fontId="1" fillId="0" borderId="7" xfId="1" applyNumberFormat="1" applyBorder="1"/>
    <xf numFmtId="0" fontId="5" fillId="0" borderId="0" xfId="1" applyFont="1"/>
    <xf numFmtId="0" fontId="5" fillId="0" borderId="7" xfId="1" applyFont="1" applyBorder="1" applyAlignment="1">
      <alignment horizontal="right"/>
    </xf>
    <xf numFmtId="172" fontId="9" fillId="0" borderId="0" xfId="1" applyNumberFormat="1" applyFont="1" applyAlignment="1">
      <alignment horizontal="right"/>
    </xf>
    <xf numFmtId="1" fontId="9" fillId="0" borderId="0" xfId="1" applyNumberFormat="1" applyFont="1"/>
    <xf numFmtId="1" fontId="9" fillId="0" borderId="7" xfId="1" applyNumberFormat="1" applyFont="1" applyBorder="1"/>
    <xf numFmtId="1" fontId="5" fillId="0" borderId="0" xfId="1" applyNumberFormat="1" applyFont="1"/>
    <xf numFmtId="1" fontId="5" fillId="0" borderId="7" xfId="1" applyNumberFormat="1" applyFont="1" applyBorder="1"/>
    <xf numFmtId="0" fontId="1" fillId="0" borderId="7" xfId="1" applyBorder="1" applyAlignment="1">
      <alignment horizontal="right"/>
    </xf>
    <xf numFmtId="172" fontId="1" fillId="0" borderId="0" xfId="1" applyNumberFormat="1"/>
    <xf numFmtId="172" fontId="1" fillId="0" borderId="7" xfId="1" applyNumberFormat="1" applyBorder="1" applyAlignment="1">
      <alignment horizontal="right"/>
    </xf>
    <xf numFmtId="172" fontId="1" fillId="0" borderId="7" xfId="1" applyNumberFormat="1" applyBorder="1"/>
    <xf numFmtId="172" fontId="6" fillId="0" borderId="9" xfId="1" applyNumberFormat="1" applyFont="1" applyBorder="1"/>
    <xf numFmtId="172" fontId="6" fillId="0" borderId="10" xfId="1" applyNumberFormat="1" applyFont="1" applyBorder="1"/>
    <xf numFmtId="172" fontId="6" fillId="0" borderId="11" xfId="1" applyNumberFormat="1" applyFont="1" applyBorder="1"/>
    <xf numFmtId="5" fontId="8" fillId="0" borderId="4" xfId="1" applyNumberFormat="1" applyFont="1" applyBorder="1"/>
    <xf numFmtId="165" fontId="14" fillId="0" borderId="0" xfId="2" applyNumberFormat="1" applyFont="1"/>
    <xf numFmtId="0" fontId="6" fillId="0" borderId="8" xfId="1" applyFont="1" applyBorder="1" applyAlignment="1">
      <alignment horizontal="left" indent="1"/>
    </xf>
    <xf numFmtId="0" fontId="1" fillId="0" borderId="5" xfId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165" fontId="8" fillId="0" borderId="8" xfId="2" applyNumberFormat="1" applyFont="1" applyBorder="1"/>
    <xf numFmtId="165" fontId="8" fillId="0" borderId="5" xfId="2" applyNumberFormat="1" applyFont="1" applyBorder="1"/>
    <xf numFmtId="165" fontId="8" fillId="0" borderId="6" xfId="2" applyNumberFormat="1" applyFont="1" applyBorder="1"/>
    <xf numFmtId="0" fontId="17" fillId="3" borderId="0" xfId="4" applyFill="1"/>
    <xf numFmtId="0" fontId="5" fillId="3" borderId="0" xfId="4" applyFont="1" applyFill="1"/>
    <xf numFmtId="0" fontId="2" fillId="4" borderId="1" xfId="4" applyFont="1" applyFill="1" applyBorder="1"/>
    <xf numFmtId="0" fontId="2" fillId="4" borderId="2" xfId="4" applyFont="1" applyFill="1" applyBorder="1"/>
    <xf numFmtId="0" fontId="2" fillId="4" borderId="3" xfId="4" applyFont="1" applyFill="1" applyBorder="1"/>
    <xf numFmtId="0" fontId="18" fillId="3" borderId="0" xfId="1" applyFont="1" applyFill="1"/>
    <xf numFmtId="0" fontId="2" fillId="4" borderId="8" xfId="4" applyFont="1" applyFill="1" applyBorder="1"/>
    <xf numFmtId="0" fontId="2" fillId="4" borderId="5" xfId="4" applyFont="1" applyFill="1" applyBorder="1"/>
    <xf numFmtId="0" fontId="2" fillId="4" borderId="5" xfId="4" applyFont="1" applyFill="1" applyBorder="1" applyAlignment="1">
      <alignment horizontal="center"/>
    </xf>
    <xf numFmtId="0" fontId="2" fillId="4" borderId="6" xfId="4" applyFont="1" applyFill="1" applyBorder="1" applyAlignment="1">
      <alignment horizontal="center"/>
    </xf>
    <xf numFmtId="0" fontId="2" fillId="4" borderId="6" xfId="4" applyFont="1" applyFill="1" applyBorder="1"/>
    <xf numFmtId="0" fontId="17" fillId="0" borderId="4" xfId="4" applyBorder="1"/>
    <xf numFmtId="0" fontId="17" fillId="0" borderId="0" xfId="4"/>
    <xf numFmtId="0" fontId="19" fillId="0" borderId="0" xfId="4" applyFont="1"/>
    <xf numFmtId="0" fontId="19" fillId="0" borderId="7" xfId="4" applyFont="1" applyBorder="1"/>
    <xf numFmtId="173" fontId="17" fillId="0" borderId="7" xfId="4" applyNumberFormat="1" applyBorder="1"/>
    <xf numFmtId="0" fontId="19" fillId="0" borderId="4" xfId="4" applyFont="1" applyBorder="1"/>
    <xf numFmtId="165" fontId="19" fillId="0" borderId="0" xfId="2" applyNumberFormat="1" applyFont="1" applyBorder="1"/>
    <xf numFmtId="165" fontId="19" fillId="0" borderId="7" xfId="2" applyNumberFormat="1" applyFont="1" applyBorder="1"/>
    <xf numFmtId="174" fontId="20" fillId="0" borderId="7" xfId="4" applyNumberFormat="1" applyFont="1" applyBorder="1"/>
    <xf numFmtId="165" fontId="17" fillId="0" borderId="0" xfId="2" applyNumberFormat="1" applyFont="1" applyBorder="1"/>
    <xf numFmtId="165" fontId="17" fillId="0" borderId="7" xfId="2" applyNumberFormat="1" applyFont="1" applyBorder="1"/>
    <xf numFmtId="166" fontId="17" fillId="0" borderId="7" xfId="4" applyNumberFormat="1" applyBorder="1"/>
    <xf numFmtId="0" fontId="17" fillId="0" borderId="7" xfId="4" applyBorder="1"/>
    <xf numFmtId="41" fontId="17" fillId="0" borderId="0" xfId="4" applyNumberFormat="1"/>
    <xf numFmtId="41" fontId="17" fillId="0" borderId="7" xfId="4" applyNumberFormat="1" applyBorder="1"/>
    <xf numFmtId="175" fontId="19" fillId="0" borderId="0" xfId="4" applyNumberFormat="1" applyFont="1"/>
    <xf numFmtId="176" fontId="20" fillId="0" borderId="7" xfId="4" applyNumberFormat="1" applyFont="1" applyBorder="1"/>
    <xf numFmtId="166" fontId="20" fillId="0" borderId="7" xfId="4" applyNumberFormat="1" applyFont="1" applyBorder="1"/>
    <xf numFmtId="6" fontId="17" fillId="0" borderId="0" xfId="4" applyNumberFormat="1"/>
    <xf numFmtId="6" fontId="17" fillId="0" borderId="7" xfId="4" applyNumberFormat="1" applyBorder="1"/>
    <xf numFmtId="165" fontId="19" fillId="0" borderId="3" xfId="2" applyNumberFormat="1" applyFont="1" applyBorder="1"/>
    <xf numFmtId="0" fontId="21" fillId="5" borderId="1" xfId="4" applyFont="1" applyFill="1" applyBorder="1"/>
    <xf numFmtId="0" fontId="21" fillId="5" borderId="2" xfId="4" applyFont="1" applyFill="1" applyBorder="1"/>
    <xf numFmtId="165" fontId="21" fillId="5" borderId="2" xfId="2" applyNumberFormat="1" applyFont="1" applyFill="1" applyBorder="1"/>
    <xf numFmtId="165" fontId="21" fillId="5" borderId="3" xfId="2" applyNumberFormat="1" applyFont="1" applyFill="1" applyBorder="1"/>
    <xf numFmtId="0" fontId="21" fillId="5" borderId="8" xfId="4" applyFont="1" applyFill="1" applyBorder="1"/>
    <xf numFmtId="0" fontId="21" fillId="5" borderId="5" xfId="4" applyFont="1" applyFill="1" applyBorder="1"/>
    <xf numFmtId="165" fontId="21" fillId="5" borderId="5" xfId="2" applyNumberFormat="1" applyFont="1" applyFill="1" applyBorder="1"/>
    <xf numFmtId="165" fontId="21" fillId="5" borderId="6" xfId="2" applyNumberFormat="1" applyFont="1" applyFill="1" applyBorder="1"/>
    <xf numFmtId="173" fontId="17" fillId="0" borderId="0" xfId="4" applyNumberFormat="1"/>
    <xf numFmtId="0" fontId="22" fillId="0" borderId="4" xfId="4" applyFont="1" applyBorder="1" applyAlignment="1">
      <alignment horizontal="left" indent="1"/>
    </xf>
    <xf numFmtId="173" fontId="23" fillId="0" borderId="0" xfId="4" applyNumberFormat="1" applyFont="1"/>
    <xf numFmtId="173" fontId="22" fillId="0" borderId="0" xfId="4" applyNumberFormat="1" applyFont="1"/>
    <xf numFmtId="173" fontId="22" fillId="0" borderId="7" xfId="4" applyNumberFormat="1" applyFont="1" applyBorder="1"/>
    <xf numFmtId="172" fontId="5" fillId="0" borderId="7" xfId="2" applyNumberFormat="1" applyFont="1" applyBorder="1" applyAlignment="1">
      <alignment horizontal="right"/>
    </xf>
    <xf numFmtId="42" fontId="17" fillId="0" borderId="0" xfId="4" applyNumberFormat="1"/>
    <xf numFmtId="0" fontId="22" fillId="0" borderId="8" xfId="4" applyFont="1" applyBorder="1"/>
    <xf numFmtId="0" fontId="17" fillId="0" borderId="5" xfId="4" applyBorder="1"/>
    <xf numFmtId="177" fontId="22" fillId="0" borderId="5" xfId="4" applyNumberFormat="1" applyFont="1" applyBorder="1" applyAlignment="1">
      <alignment horizontal="right"/>
    </xf>
    <xf numFmtId="177" fontId="22" fillId="0" borderId="5" xfId="4" applyNumberFormat="1" applyFont="1" applyBorder="1"/>
    <xf numFmtId="177" fontId="22" fillId="0" borderId="6" xfId="4" applyNumberFormat="1" applyFont="1" applyBorder="1"/>
    <xf numFmtId="175" fontId="17" fillId="3" borderId="0" xfId="4" applyNumberFormat="1" applyFill="1"/>
    <xf numFmtId="0" fontId="19" fillId="0" borderId="8" xfId="4" applyFont="1" applyBorder="1"/>
    <xf numFmtId="165" fontId="19" fillId="0" borderId="6" xfId="2" applyNumberFormat="1" applyFont="1" applyBorder="1"/>
    <xf numFmtId="0" fontId="17" fillId="3" borderId="2" xfId="4" applyFill="1" applyBorder="1"/>
    <xf numFmtId="6" fontId="17" fillId="3" borderId="0" xfId="4" applyNumberFormat="1" applyFill="1"/>
    <xf numFmtId="164" fontId="17" fillId="3" borderId="0" xfId="4" applyNumberFormat="1" applyFill="1"/>
    <xf numFmtId="44" fontId="19" fillId="3" borderId="0" xfId="4" applyNumberFormat="1" applyFont="1" applyFill="1"/>
    <xf numFmtId="0" fontId="19" fillId="0" borderId="0" xfId="4" applyFont="1" applyAlignment="1">
      <alignment horizontal="centerContinuous"/>
    </xf>
    <xf numFmtId="0" fontId="19" fillId="0" borderId="7" xfId="4" applyFont="1" applyBorder="1" applyAlignment="1">
      <alignment horizontal="centerContinuous"/>
    </xf>
    <xf numFmtId="44" fontId="24" fillId="0" borderId="0" xfId="4" applyNumberFormat="1" applyFont="1"/>
    <xf numFmtId="166" fontId="25" fillId="0" borderId="5" xfId="4" applyNumberFormat="1" applyFont="1" applyBorder="1" applyAlignment="1">
      <alignment horizontal="center"/>
    </xf>
    <xf numFmtId="166" fontId="17" fillId="0" borderId="5" xfId="4" applyNumberFormat="1" applyBorder="1" applyAlignment="1">
      <alignment horizontal="center"/>
    </xf>
    <xf numFmtId="166" fontId="19" fillId="0" borderId="5" xfId="4" applyNumberFormat="1" applyFont="1" applyBorder="1" applyAlignment="1">
      <alignment horizontal="center"/>
    </xf>
    <xf numFmtId="166" fontId="17" fillId="0" borderId="6" xfId="4" applyNumberFormat="1" applyBorder="1" applyAlignment="1">
      <alignment horizontal="center"/>
    </xf>
    <xf numFmtId="43" fontId="17" fillId="3" borderId="0" xfId="4" applyNumberFormat="1" applyFill="1" applyAlignment="1">
      <alignment horizontal="right"/>
    </xf>
    <xf numFmtId="44" fontId="17" fillId="3" borderId="0" xfId="4" applyNumberFormat="1" applyFill="1" applyAlignment="1">
      <alignment horizontal="right"/>
    </xf>
    <xf numFmtId="0" fontId="19" fillId="0" borderId="4" xfId="4" applyFont="1" applyBorder="1" applyAlignment="1">
      <alignment horizontal="center" vertical="center" textRotation="90" wrapText="1"/>
    </xf>
    <xf numFmtId="166" fontId="25" fillId="0" borderId="7" xfId="4" applyNumberFormat="1" applyFont="1" applyBorder="1"/>
    <xf numFmtId="165" fontId="17" fillId="0" borderId="1" xfId="2" applyNumberFormat="1" applyFont="1" applyBorder="1"/>
    <xf numFmtId="165" fontId="17" fillId="0" borderId="2" xfId="2" applyNumberFormat="1" applyFont="1" applyBorder="1"/>
    <xf numFmtId="165" fontId="19" fillId="0" borderId="2" xfId="2" applyNumberFormat="1" applyFont="1" applyBorder="1"/>
    <xf numFmtId="165" fontId="17" fillId="0" borderId="3" xfId="2" applyNumberFormat="1" applyFont="1" applyBorder="1"/>
    <xf numFmtId="0" fontId="18" fillId="0" borderId="4" xfId="1" applyFont="1" applyBorder="1" applyAlignment="1">
      <alignment horizontal="center" vertical="center" textRotation="90" wrapText="1"/>
    </xf>
    <xf numFmtId="165" fontId="17" fillId="0" borderId="4" xfId="2" applyNumberFormat="1" applyFont="1" applyBorder="1"/>
    <xf numFmtId="166" fontId="19" fillId="0" borderId="7" xfId="4" applyNumberFormat="1" applyFont="1" applyBorder="1"/>
    <xf numFmtId="165" fontId="19" fillId="0" borderId="4" xfId="2" applyNumberFormat="1" applyFont="1" applyBorder="1"/>
    <xf numFmtId="0" fontId="18" fillId="0" borderId="8" xfId="1" applyFont="1" applyBorder="1" applyAlignment="1">
      <alignment horizontal="center" vertical="center" textRotation="90" wrapText="1"/>
    </xf>
    <xf numFmtId="166" fontId="17" fillId="0" borderId="6" xfId="4" applyNumberFormat="1" applyBorder="1"/>
    <xf numFmtId="165" fontId="17" fillId="0" borderId="8" xfId="2" applyNumberFormat="1" applyFont="1" applyBorder="1"/>
    <xf numFmtId="165" fontId="17" fillId="0" borderId="5" xfId="2" applyNumberFormat="1" applyFont="1" applyBorder="1"/>
    <xf numFmtId="165" fontId="19" fillId="0" borderId="5" xfId="2" applyNumberFormat="1" applyFont="1" applyBorder="1"/>
    <xf numFmtId="165" fontId="17" fillId="0" borderId="6" xfId="2" applyNumberFormat="1" applyFont="1" applyBorder="1"/>
    <xf numFmtId="0" fontId="19" fillId="3" borderId="0" xfId="4" applyFont="1" applyFill="1" applyAlignment="1">
      <alignment horizontal="center" vertical="center" textRotation="90"/>
    </xf>
    <xf numFmtId="176" fontId="25" fillId="0" borderId="7" xfId="4" applyNumberFormat="1" applyFont="1" applyBorder="1"/>
    <xf numFmtId="176" fontId="17" fillId="0" borderId="7" xfId="4" applyNumberFormat="1" applyBorder="1"/>
    <xf numFmtId="176" fontId="19" fillId="0" borderId="7" xfId="4" applyNumberFormat="1" applyFont="1" applyBorder="1"/>
    <xf numFmtId="176" fontId="17" fillId="0" borderId="6" xfId="4" applyNumberFormat="1" applyBorder="1"/>
  </cellXfs>
  <cellStyles count="5">
    <cellStyle name="Comma 2" xfId="2" xr:uid="{2E011568-CC38-D349-9DD8-DD87B03D9DA8}"/>
    <cellStyle name="Normal" xfId="0" builtinId="0"/>
    <cellStyle name="Normal 2" xfId="1" xr:uid="{AE1DE86C-D0D7-A542-A6A7-055EEFE28CF5}"/>
    <cellStyle name="Normal 2 2" xfId="4" xr:uid="{2E2D8765-6F88-0643-AC5F-DC3EA7053B79}"/>
    <cellStyle name="Percent 2" xfId="3" xr:uid="{30A4ED10-B1E1-7E41-9E0B-9B8D650FD0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ithipai/Downloads/DMart%20Financial%20Model-%2029%20March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Overview"/>
      <sheetName val="Input &amp; Assumptions"/>
      <sheetName val="Revenue Build"/>
      <sheetName val="Operating Model"/>
      <sheetName val="DCF"/>
      <sheetName val="WACC"/>
      <sheetName val="Public Comps"/>
      <sheetName val="Valuation Summary"/>
      <sheetName val="Valuation Graph"/>
    </sheetNames>
    <sheetDataSet>
      <sheetData sheetId="0"/>
      <sheetData sheetId="1">
        <row r="4">
          <cell r="C4" t="str">
            <v>Avenue Supermarts Ltd</v>
          </cell>
          <cell r="H4">
            <v>2</v>
          </cell>
          <cell r="I4" t="str">
            <v>Conservative</v>
          </cell>
        </row>
        <row r="6">
          <cell r="C6">
            <v>43921</v>
          </cell>
        </row>
        <row r="11">
          <cell r="C11">
            <v>2861</v>
          </cell>
        </row>
        <row r="12">
          <cell r="C12">
            <v>63.298497500000003</v>
          </cell>
        </row>
        <row r="14">
          <cell r="H14">
            <v>0.3</v>
          </cell>
        </row>
        <row r="15">
          <cell r="H15">
            <v>365</v>
          </cell>
        </row>
        <row r="16">
          <cell r="H16">
            <v>10000000</v>
          </cell>
        </row>
      </sheetData>
      <sheetData sheetId="2"/>
      <sheetData sheetId="3">
        <row r="4">
          <cell r="K4" t="str">
            <v>FY 2021E</v>
          </cell>
          <cell r="L4" t="str">
            <v>FY 2022E</v>
          </cell>
          <cell r="M4" t="str">
            <v>FY 2023E</v>
          </cell>
          <cell r="N4" t="str">
            <v>FY 2024E</v>
          </cell>
          <cell r="O4" t="str">
            <v>FY 2025E</v>
          </cell>
        </row>
      </sheetData>
      <sheetData sheetId="4"/>
      <sheetData sheetId="5">
        <row r="31">
          <cell r="G31">
            <v>0.11071106190786542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262D-8328-AF4E-B352-32DB13804F1A}">
  <dimension ref="B2:T162"/>
  <sheetViews>
    <sheetView tabSelected="1" zoomScaleNormal="100" workbookViewId="0">
      <selection activeCell="G29" sqref="G29"/>
    </sheetView>
  </sheetViews>
  <sheetFormatPr baseColWidth="10" defaultColWidth="9.1640625" defaultRowHeight="15" x14ac:dyDescent="0.2"/>
  <cols>
    <col min="1" max="1" width="9.1640625" style="5"/>
    <col min="2" max="2" width="10.6640625" style="5" customWidth="1"/>
    <col min="3" max="3" width="9.1640625" style="5"/>
    <col min="4" max="5" width="10.1640625" style="5" bestFit="1" customWidth="1"/>
    <col min="6" max="7" width="10.1640625" style="5" customWidth="1"/>
    <col min="8" max="8" width="10.5" style="5" bestFit="1" customWidth="1"/>
    <col min="9" max="9" width="9.5" style="5" bestFit="1" customWidth="1"/>
    <col min="10" max="10" width="11.5" style="5" bestFit="1" customWidth="1"/>
    <col min="11" max="13" width="10" style="5" bestFit="1" customWidth="1"/>
    <col min="14" max="15" width="10.1640625" style="5" bestFit="1" customWidth="1"/>
    <col min="16" max="16384" width="9.1640625" style="5"/>
  </cols>
  <sheetData>
    <row r="2" spans="2:18" x14ac:dyDescent="0.2">
      <c r="B2" s="1" t="str">
        <f>"Income Statement  - "&amp;Company_Name</f>
        <v>Income Statement  - Avenue Supermarts Ltd</v>
      </c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4" t="s">
        <v>0</v>
      </c>
    </row>
    <row r="3" spans="2:18" x14ac:dyDescent="0.2">
      <c r="B3" s="6"/>
      <c r="C3" s="7"/>
      <c r="D3" s="7"/>
      <c r="E3" s="7"/>
      <c r="F3" s="7"/>
      <c r="G3" s="7"/>
      <c r="H3" s="8" t="s">
        <v>1</v>
      </c>
      <c r="I3" s="8"/>
      <c r="J3" s="9"/>
      <c r="K3" s="8" t="s">
        <v>2</v>
      </c>
      <c r="L3" s="8"/>
      <c r="M3" s="8"/>
      <c r="N3" s="8"/>
      <c r="O3" s="9"/>
    </row>
    <row r="4" spans="2:18" x14ac:dyDescent="0.2">
      <c r="B4" s="6"/>
      <c r="C4" s="7"/>
      <c r="D4" s="7"/>
      <c r="E4" s="7"/>
      <c r="F4" s="7"/>
      <c r="G4" s="7"/>
      <c r="H4" s="10" t="str">
        <f>"FY "&amp;YEAR(Hist_Year)-2</f>
        <v>FY 2018</v>
      </c>
      <c r="I4" s="11" t="str">
        <f>"FY "&amp;YEAR(Hist_Year)-1</f>
        <v>FY 2019</v>
      </c>
      <c r="J4" s="12" t="str">
        <f>"FY "&amp;YEAR(Hist_Year)</f>
        <v>FY 2020</v>
      </c>
      <c r="K4" s="11" t="str">
        <f>"FY "&amp;YEAR(Hist_Year)+1&amp;"E"</f>
        <v>FY 2021E</v>
      </c>
      <c r="L4" s="11" t="str">
        <f>"FY "&amp;YEAR(Hist_Year)+2&amp;"E"</f>
        <v>FY 2022E</v>
      </c>
      <c r="M4" s="11" t="str">
        <f>"FY "&amp;YEAR(Hist_Year)+3&amp;"E"</f>
        <v>FY 2023E</v>
      </c>
      <c r="N4" s="11" t="str">
        <f>"FY "&amp;YEAR(Hist_Year)+4&amp;"E"</f>
        <v>FY 2024E</v>
      </c>
      <c r="O4" s="12" t="str">
        <f>"FY "&amp;YEAR(Hist_Year)+5&amp;"E"</f>
        <v>FY 2025E</v>
      </c>
    </row>
    <row r="5" spans="2:18" x14ac:dyDescent="0.2">
      <c r="B5" s="6"/>
      <c r="C5" s="7"/>
      <c r="D5" s="7"/>
      <c r="E5" s="7"/>
      <c r="F5" s="7"/>
      <c r="G5" s="7"/>
      <c r="H5" s="13"/>
      <c r="I5" s="14"/>
      <c r="J5" s="15"/>
      <c r="K5" s="14"/>
      <c r="L5" s="14"/>
      <c r="M5" s="14"/>
      <c r="N5" s="14"/>
      <c r="O5" s="15"/>
    </row>
    <row r="6" spans="2:18" x14ac:dyDescent="0.2">
      <c r="B6" s="16" t="s">
        <v>3</v>
      </c>
      <c r="C6" s="7"/>
      <c r="D6" s="7"/>
      <c r="E6" s="7"/>
      <c r="F6" s="7"/>
      <c r="G6" s="7"/>
      <c r="H6" s="17"/>
      <c r="I6" s="17"/>
      <c r="J6" s="18"/>
      <c r="K6" s="17"/>
      <c r="L6" s="17"/>
      <c r="M6" s="17"/>
      <c r="N6" s="17"/>
      <c r="O6" s="18"/>
    </row>
    <row r="7" spans="2:18" x14ac:dyDescent="0.2">
      <c r="B7" s="6" t="s">
        <v>4</v>
      </c>
      <c r="C7" s="7"/>
      <c r="D7" s="7"/>
      <c r="E7" s="7"/>
      <c r="F7" s="7"/>
      <c r="G7" s="7"/>
      <c r="H7" s="19"/>
      <c r="I7" s="19"/>
      <c r="J7" s="20"/>
      <c r="K7" s="17"/>
      <c r="L7" s="17"/>
      <c r="M7" s="17"/>
      <c r="N7" s="17"/>
      <c r="O7" s="18"/>
    </row>
    <row r="8" spans="2:18" x14ac:dyDescent="0.2">
      <c r="B8" s="21" t="s">
        <v>5</v>
      </c>
      <c r="C8" s="7"/>
      <c r="D8" s="7"/>
      <c r="E8" s="7"/>
      <c r="F8" s="7"/>
      <c r="G8" s="7"/>
      <c r="H8" s="22"/>
      <c r="I8" s="22"/>
      <c r="J8" s="23"/>
      <c r="K8" s="24"/>
      <c r="L8" s="17"/>
      <c r="M8" s="17"/>
      <c r="N8" s="17"/>
      <c r="O8" s="18"/>
    </row>
    <row r="9" spans="2:18" x14ac:dyDescent="0.2">
      <c r="B9" s="16" t="s">
        <v>6</v>
      </c>
      <c r="C9" s="7"/>
      <c r="D9" s="7"/>
      <c r="E9" s="7"/>
      <c r="F9" s="7"/>
      <c r="G9" s="7"/>
      <c r="H9" s="7"/>
      <c r="I9" s="7"/>
      <c r="J9" s="7"/>
      <c r="K9" s="6"/>
      <c r="L9" s="7"/>
      <c r="M9" s="7"/>
      <c r="N9" s="7"/>
      <c r="O9" s="25"/>
    </row>
    <row r="10" spans="2:18" x14ac:dyDescent="0.2">
      <c r="B10" s="26" t="s">
        <v>7</v>
      </c>
      <c r="C10" s="7"/>
      <c r="D10" s="7"/>
      <c r="E10" s="7"/>
      <c r="F10" s="7"/>
      <c r="G10" s="7"/>
      <c r="H10" s="19"/>
      <c r="I10" s="19"/>
      <c r="J10" s="19"/>
      <c r="K10" s="24"/>
      <c r="L10" s="17"/>
      <c r="M10" s="17"/>
      <c r="N10" s="17"/>
      <c r="O10" s="18"/>
    </row>
    <row r="11" spans="2:18" x14ac:dyDescent="0.2">
      <c r="B11" s="26" t="s">
        <v>8</v>
      </c>
      <c r="C11" s="7"/>
      <c r="D11" s="7"/>
      <c r="E11" s="7"/>
      <c r="F11" s="7"/>
      <c r="G11" s="7"/>
      <c r="H11" s="19"/>
      <c r="I11" s="19"/>
      <c r="J11" s="19"/>
      <c r="K11" s="24"/>
      <c r="L11" s="17"/>
      <c r="M11" s="17"/>
      <c r="N11" s="17"/>
      <c r="O11" s="18"/>
    </row>
    <row r="12" spans="2:18" x14ac:dyDescent="0.2">
      <c r="B12" s="26" t="s">
        <v>9</v>
      </c>
      <c r="C12" s="7"/>
      <c r="D12" s="7"/>
      <c r="E12" s="7"/>
      <c r="F12" s="7"/>
      <c r="G12" s="7"/>
      <c r="H12" s="19"/>
      <c r="I12" s="19"/>
      <c r="J12" s="19"/>
      <c r="K12" s="24"/>
      <c r="L12" s="17"/>
      <c r="M12" s="17"/>
      <c r="N12" s="17"/>
      <c r="O12" s="18"/>
    </row>
    <row r="13" spans="2:18" x14ac:dyDescent="0.2">
      <c r="B13" s="21"/>
      <c r="C13" s="7"/>
      <c r="D13" s="7"/>
      <c r="E13" s="7"/>
      <c r="F13" s="7"/>
      <c r="G13" s="7"/>
      <c r="H13" s="7"/>
      <c r="I13" s="27"/>
      <c r="J13" s="27"/>
      <c r="K13" s="28"/>
      <c r="L13" s="27"/>
      <c r="M13" s="27"/>
      <c r="N13" s="27"/>
      <c r="O13" s="29"/>
    </row>
    <row r="14" spans="2:18" x14ac:dyDescent="0.2">
      <c r="B14" s="30" t="s">
        <v>10</v>
      </c>
      <c r="C14" s="7"/>
      <c r="D14" s="7"/>
      <c r="E14" s="7"/>
      <c r="F14" s="7"/>
      <c r="G14" s="7"/>
      <c r="H14" s="22"/>
      <c r="I14" s="22"/>
      <c r="J14" s="23"/>
      <c r="K14" s="24"/>
      <c r="L14" s="17"/>
      <c r="M14" s="17"/>
      <c r="N14" s="17"/>
      <c r="O14" s="18"/>
    </row>
    <row r="15" spans="2:18" ht="16" x14ac:dyDescent="0.2">
      <c r="B15" s="26" t="s">
        <v>11</v>
      </c>
      <c r="C15" s="7"/>
      <c r="D15" s="7"/>
      <c r="E15" s="7"/>
      <c r="F15" s="7"/>
      <c r="G15" s="7"/>
      <c r="H15" s="22"/>
      <c r="I15" s="19"/>
      <c r="J15" s="31"/>
      <c r="K15" s="32"/>
      <c r="L15" s="33"/>
      <c r="M15" s="33"/>
      <c r="N15" s="33"/>
      <c r="O15" s="34"/>
      <c r="R15" s="35"/>
    </row>
    <row r="16" spans="2:18" x14ac:dyDescent="0.2">
      <c r="B16" s="26" t="s">
        <v>12</v>
      </c>
      <c r="C16" s="7"/>
      <c r="D16" s="7"/>
      <c r="E16" s="7"/>
      <c r="F16" s="7"/>
      <c r="G16" s="7"/>
      <c r="H16" s="22"/>
      <c r="I16" s="19"/>
      <c r="J16" s="31"/>
      <c r="K16" s="36"/>
      <c r="L16" s="37"/>
      <c r="M16" s="37"/>
      <c r="N16" s="37"/>
      <c r="O16" s="38"/>
    </row>
    <row r="17" spans="2:20" x14ac:dyDescent="0.2">
      <c r="B17" s="26" t="s">
        <v>13</v>
      </c>
      <c r="C17" s="7"/>
      <c r="D17" s="7"/>
      <c r="E17" s="7"/>
      <c r="F17" s="7"/>
      <c r="G17" s="7"/>
      <c r="H17" s="19"/>
      <c r="I17" s="19"/>
      <c r="J17" s="31"/>
      <c r="K17" s="32"/>
      <c r="L17" s="33"/>
      <c r="M17" s="33"/>
      <c r="N17" s="33"/>
      <c r="O17" s="34"/>
    </row>
    <row r="18" spans="2:20" x14ac:dyDescent="0.2">
      <c r="B18" s="39" t="s">
        <v>14</v>
      </c>
      <c r="C18" s="40"/>
      <c r="D18" s="40"/>
      <c r="E18" s="40"/>
      <c r="F18" s="40"/>
      <c r="G18" s="40"/>
      <c r="H18" s="41"/>
      <c r="I18" s="41"/>
      <c r="J18" s="41"/>
      <c r="K18" s="42"/>
      <c r="L18" s="43"/>
      <c r="M18" s="43"/>
      <c r="N18" s="43"/>
      <c r="O18" s="44"/>
    </row>
    <row r="19" spans="2:20" ht="16" x14ac:dyDescent="0.2">
      <c r="B19" s="45" t="s">
        <v>15</v>
      </c>
      <c r="C19" s="7"/>
      <c r="D19" s="7"/>
      <c r="E19" s="7"/>
      <c r="F19" s="7"/>
      <c r="G19" s="7"/>
      <c r="H19" s="19"/>
      <c r="I19" s="19"/>
      <c r="J19" s="31"/>
      <c r="K19" s="32"/>
      <c r="L19" s="33"/>
      <c r="M19" s="33"/>
      <c r="N19" s="33"/>
      <c r="O19" s="34"/>
      <c r="R19" s="35"/>
    </row>
    <row r="20" spans="2:20" x14ac:dyDescent="0.2">
      <c r="B20" s="26" t="s">
        <v>16</v>
      </c>
      <c r="C20" s="7"/>
      <c r="D20" s="7"/>
      <c r="E20" s="7"/>
      <c r="F20" s="7"/>
      <c r="G20" s="7"/>
      <c r="H20" s="46"/>
      <c r="I20" s="46"/>
      <c r="J20" s="46"/>
      <c r="K20" s="47"/>
      <c r="L20" s="48"/>
      <c r="M20" s="48"/>
      <c r="N20" s="48"/>
      <c r="O20" s="49"/>
    </row>
    <row r="21" spans="2:20" x14ac:dyDescent="0.2">
      <c r="B21" s="50" t="s">
        <v>17</v>
      </c>
      <c r="C21" s="40"/>
      <c r="D21" s="40"/>
      <c r="E21" s="40"/>
      <c r="F21" s="40"/>
      <c r="G21" s="40"/>
      <c r="H21" s="41"/>
      <c r="I21" s="41"/>
      <c r="J21" s="41"/>
      <c r="K21" s="51"/>
      <c r="L21" s="41"/>
      <c r="M21" s="41"/>
      <c r="N21" s="41"/>
      <c r="O21" s="52"/>
      <c r="P21" s="53"/>
      <c r="Q21" s="53"/>
      <c r="R21" s="53"/>
      <c r="S21" s="53"/>
      <c r="T21" s="53"/>
    </row>
    <row r="22" spans="2:20" x14ac:dyDescent="0.2">
      <c r="B22" s="45" t="s">
        <v>18</v>
      </c>
      <c r="C22" s="7"/>
      <c r="D22" s="7"/>
      <c r="E22" s="7"/>
      <c r="F22" s="7"/>
      <c r="G22" s="7"/>
      <c r="H22" s="54"/>
      <c r="I22" s="55"/>
      <c r="J22" s="55"/>
      <c r="K22" s="56"/>
      <c r="L22" s="57"/>
      <c r="M22" s="57"/>
      <c r="N22" s="57"/>
      <c r="O22" s="58"/>
    </row>
    <row r="23" spans="2:20" x14ac:dyDescent="0.2">
      <c r="B23" s="21" t="s">
        <v>19</v>
      </c>
      <c r="C23" s="7"/>
      <c r="D23" s="7"/>
      <c r="E23" s="7"/>
      <c r="F23" s="7"/>
      <c r="G23" s="7"/>
      <c r="H23" s="59"/>
      <c r="I23" s="59"/>
      <c r="J23" s="60"/>
      <c r="K23" s="61"/>
      <c r="L23" s="62"/>
      <c r="M23" s="62"/>
      <c r="N23" s="62"/>
      <c r="O23" s="63"/>
    </row>
    <row r="24" spans="2:20" x14ac:dyDescent="0.2">
      <c r="B24" s="64" t="s">
        <v>20</v>
      </c>
      <c r="C24" s="7"/>
      <c r="D24" s="7"/>
      <c r="E24" s="7"/>
      <c r="F24" s="7"/>
      <c r="G24" s="7"/>
      <c r="H24" s="7"/>
      <c r="I24" s="65"/>
      <c r="J24" s="65"/>
      <c r="K24" s="66"/>
      <c r="L24" s="65"/>
      <c r="M24" s="65"/>
      <c r="N24" s="65"/>
      <c r="O24" s="65"/>
      <c r="P24" s="67"/>
    </row>
    <row r="25" spans="2:20" x14ac:dyDescent="0.2">
      <c r="B25" s="21" t="s">
        <v>21</v>
      </c>
      <c r="C25" s="7"/>
      <c r="D25" s="7"/>
      <c r="E25" s="7"/>
      <c r="F25" s="7"/>
      <c r="G25" s="7"/>
      <c r="H25" s="23"/>
      <c r="I25" s="23"/>
      <c r="J25" s="23"/>
      <c r="K25" s="68"/>
      <c r="L25" s="23"/>
      <c r="M25" s="23"/>
      <c r="N25" s="23"/>
      <c r="O25" s="69"/>
    </row>
    <row r="26" spans="2:20" x14ac:dyDescent="0.2">
      <c r="B26" s="64" t="s">
        <v>22</v>
      </c>
      <c r="C26" s="70"/>
      <c r="D26" s="70"/>
      <c r="E26" s="70"/>
      <c r="F26" s="70"/>
      <c r="G26" s="70"/>
      <c r="H26" s="71"/>
      <c r="I26" s="71"/>
      <c r="J26" s="72"/>
      <c r="K26" s="73"/>
      <c r="L26" s="74"/>
      <c r="M26" s="74"/>
      <c r="N26" s="74"/>
      <c r="O26" s="75"/>
    </row>
    <row r="27" spans="2:20" ht="16" x14ac:dyDescent="0.2">
      <c r="B27" s="21"/>
      <c r="C27" s="7"/>
      <c r="D27" s="7"/>
      <c r="E27" s="7"/>
      <c r="F27" s="7"/>
      <c r="G27" s="7"/>
      <c r="H27" s="76"/>
      <c r="I27" s="77"/>
      <c r="J27" s="78"/>
      <c r="K27" s="79"/>
      <c r="L27" s="80"/>
      <c r="M27" s="80"/>
      <c r="N27" s="80"/>
      <c r="O27" s="81"/>
    </row>
    <row r="28" spans="2:20" s="88" customFormat="1" x14ac:dyDescent="0.2">
      <c r="B28" s="82" t="s">
        <v>23</v>
      </c>
      <c r="C28" s="83"/>
      <c r="D28" s="83"/>
      <c r="E28" s="83"/>
      <c r="F28" s="83"/>
      <c r="G28" s="83"/>
      <c r="H28" s="84"/>
      <c r="I28" s="84"/>
      <c r="J28" s="84"/>
      <c r="K28" s="85"/>
      <c r="L28" s="86"/>
      <c r="M28" s="86"/>
      <c r="N28" s="86"/>
      <c r="O28" s="87"/>
    </row>
    <row r="29" spans="2:20" s="88" customFormat="1" x14ac:dyDescent="0.2">
      <c r="B29" s="89"/>
      <c r="H29" s="90"/>
      <c r="I29" s="90"/>
      <c r="J29" s="90"/>
      <c r="K29" s="91"/>
      <c r="L29" s="91"/>
      <c r="M29" s="91"/>
      <c r="N29" s="91"/>
      <c r="O29" s="91"/>
    </row>
    <row r="30" spans="2:20" s="88" customFormat="1" x14ac:dyDescent="0.2">
      <c r="B30" s="89"/>
      <c r="H30" s="90"/>
      <c r="I30" s="90"/>
      <c r="J30" s="90"/>
      <c r="K30" s="91"/>
      <c r="L30" s="91"/>
      <c r="M30" s="91"/>
      <c r="N30" s="91"/>
      <c r="O30" s="91"/>
    </row>
    <row r="31" spans="2:20" x14ac:dyDescent="0.2">
      <c r="B31" s="92"/>
      <c r="I31" s="93"/>
      <c r="J31" s="93"/>
      <c r="K31" s="94"/>
      <c r="L31" s="94"/>
      <c r="M31" s="94"/>
      <c r="N31" s="94"/>
      <c r="O31" s="94"/>
    </row>
    <row r="32" spans="2:20" x14ac:dyDescent="0.2">
      <c r="B32" s="1" t="str">
        <f>"Balance Sheet  - "&amp;Company_Name</f>
        <v>Balance Sheet  - Avenue Supermarts Ltd</v>
      </c>
      <c r="C32" s="2"/>
      <c r="D32" s="2"/>
      <c r="E32" s="2"/>
      <c r="F32" s="2"/>
      <c r="G32" s="2"/>
      <c r="H32" s="2"/>
      <c r="I32" s="3"/>
      <c r="J32" s="3"/>
      <c r="K32" s="3"/>
      <c r="L32" s="3"/>
      <c r="M32" s="3"/>
      <c r="N32" s="3"/>
      <c r="O32" s="4" t="s">
        <v>0</v>
      </c>
    </row>
    <row r="33" spans="2:18" x14ac:dyDescent="0.2">
      <c r="B33" s="6"/>
      <c r="C33" s="7"/>
      <c r="D33" s="7"/>
      <c r="E33" s="7"/>
      <c r="F33" s="7"/>
      <c r="G33" s="7"/>
      <c r="H33" s="8" t="s">
        <v>1</v>
      </c>
      <c r="I33" s="8"/>
      <c r="J33" s="9"/>
      <c r="K33" s="8" t="s">
        <v>2</v>
      </c>
      <c r="L33" s="8"/>
      <c r="M33" s="8"/>
      <c r="N33" s="8"/>
      <c r="O33" s="9"/>
    </row>
    <row r="34" spans="2:18" x14ac:dyDescent="0.2">
      <c r="B34" s="6"/>
      <c r="C34" s="7"/>
      <c r="D34" s="7"/>
      <c r="E34" s="7"/>
      <c r="F34" s="7"/>
      <c r="G34" s="7"/>
      <c r="H34" s="10" t="str">
        <f>"FY "&amp;YEAR(Hist_Year)-2</f>
        <v>FY 2018</v>
      </c>
      <c r="I34" s="11" t="str">
        <f>"FY "&amp;YEAR(Hist_Year)-1</f>
        <v>FY 2019</v>
      </c>
      <c r="J34" s="12" t="str">
        <f>"FY "&amp;YEAR(Hist_Year)</f>
        <v>FY 2020</v>
      </c>
      <c r="K34" s="11" t="str">
        <f>"FY "&amp;YEAR(Hist_Year)+1&amp;"E"</f>
        <v>FY 2021E</v>
      </c>
      <c r="L34" s="11" t="str">
        <f>"FY "&amp;YEAR(Hist_Year)+2&amp;"E"</f>
        <v>FY 2022E</v>
      </c>
      <c r="M34" s="11" t="str">
        <f>"FY "&amp;YEAR(Hist_Year)+3&amp;"E"</f>
        <v>FY 2023E</v>
      </c>
      <c r="N34" s="11" t="str">
        <f>"FY "&amp;YEAR(Hist_Year)+4&amp;"E"</f>
        <v>FY 2024E</v>
      </c>
      <c r="O34" s="12" t="str">
        <f>"FY "&amp;YEAR(Hist_Year)+5&amp;"E"</f>
        <v>FY 2025E</v>
      </c>
    </row>
    <row r="35" spans="2:18" x14ac:dyDescent="0.2">
      <c r="B35" s="16" t="s">
        <v>24</v>
      </c>
      <c r="C35" s="7"/>
      <c r="D35" s="7"/>
      <c r="E35" s="7"/>
      <c r="F35" s="7"/>
      <c r="G35" s="7"/>
      <c r="H35" s="7"/>
      <c r="I35" s="7"/>
      <c r="J35" s="25"/>
      <c r="K35" s="7"/>
      <c r="L35" s="7"/>
      <c r="M35" s="7"/>
      <c r="N35" s="7"/>
      <c r="O35" s="25"/>
    </row>
    <row r="36" spans="2:18" x14ac:dyDescent="0.2">
      <c r="B36" s="16"/>
      <c r="C36" s="7"/>
      <c r="D36" s="7"/>
      <c r="E36" s="7"/>
      <c r="F36" s="7"/>
      <c r="G36" s="7"/>
      <c r="H36" s="7"/>
      <c r="I36" s="7"/>
      <c r="J36" s="25"/>
      <c r="K36" s="7"/>
      <c r="L36" s="7"/>
      <c r="M36" s="7"/>
      <c r="N36" s="7"/>
      <c r="O36" s="25"/>
    </row>
    <row r="37" spans="2:18" x14ac:dyDescent="0.2">
      <c r="B37" s="16" t="s">
        <v>25</v>
      </c>
      <c r="C37" s="7"/>
      <c r="D37" s="7"/>
      <c r="E37" s="7"/>
      <c r="F37" s="7"/>
      <c r="G37" s="7"/>
      <c r="H37" s="7"/>
      <c r="I37" s="7"/>
      <c r="J37" s="25"/>
      <c r="K37" s="7"/>
      <c r="L37" s="7"/>
      <c r="M37" s="7"/>
      <c r="N37" s="7"/>
      <c r="O37" s="25"/>
    </row>
    <row r="38" spans="2:18" x14ac:dyDescent="0.2">
      <c r="B38" s="45" t="s">
        <v>26</v>
      </c>
      <c r="C38" s="7"/>
      <c r="D38" s="7"/>
      <c r="E38" s="7"/>
      <c r="F38" s="7"/>
      <c r="G38" s="7"/>
      <c r="H38" s="31"/>
      <c r="I38" s="31"/>
      <c r="J38" s="20"/>
      <c r="K38" s="95"/>
      <c r="L38" s="95"/>
      <c r="M38" s="95"/>
      <c r="N38" s="95"/>
      <c r="O38" s="34"/>
    </row>
    <row r="39" spans="2:18" x14ac:dyDescent="0.2">
      <c r="B39" s="45" t="s">
        <v>27</v>
      </c>
      <c r="C39" s="7"/>
      <c r="D39" s="7"/>
      <c r="E39" s="7"/>
      <c r="F39" s="7"/>
      <c r="G39" s="7"/>
      <c r="H39" s="31"/>
      <c r="I39" s="31"/>
      <c r="J39" s="20"/>
      <c r="K39" s="95"/>
      <c r="L39" s="95"/>
      <c r="M39" s="95"/>
      <c r="N39" s="95"/>
      <c r="O39" s="34"/>
    </row>
    <row r="40" spans="2:18" x14ac:dyDescent="0.2">
      <c r="B40" s="45" t="s">
        <v>28</v>
      </c>
      <c r="C40" s="7"/>
      <c r="D40" s="7"/>
      <c r="E40" s="7"/>
      <c r="F40" s="7"/>
      <c r="G40" s="7"/>
      <c r="H40" s="31"/>
      <c r="I40" s="31"/>
      <c r="J40" s="20"/>
      <c r="K40" s="95"/>
      <c r="L40" s="95"/>
      <c r="M40" s="95"/>
      <c r="N40" s="95"/>
      <c r="O40" s="34"/>
    </row>
    <row r="41" spans="2:18" x14ac:dyDescent="0.2">
      <c r="B41" s="45" t="s">
        <v>29</v>
      </c>
      <c r="C41" s="7"/>
      <c r="D41" s="7"/>
      <c r="E41" s="7"/>
      <c r="F41" s="7"/>
      <c r="G41" s="7"/>
      <c r="H41" s="31"/>
      <c r="I41" s="31"/>
      <c r="J41" s="20"/>
      <c r="K41" s="95"/>
      <c r="L41" s="95"/>
      <c r="M41" s="95"/>
      <c r="N41" s="95"/>
      <c r="O41" s="34"/>
    </row>
    <row r="42" spans="2:18" x14ac:dyDescent="0.2">
      <c r="B42" s="45" t="s">
        <v>30</v>
      </c>
      <c r="C42" s="7"/>
      <c r="D42" s="7"/>
      <c r="E42" s="7"/>
      <c r="F42" s="7"/>
      <c r="G42" s="7"/>
      <c r="H42" s="31"/>
      <c r="I42" s="31"/>
      <c r="J42" s="20"/>
      <c r="K42" s="95"/>
      <c r="L42" s="95"/>
      <c r="M42" s="95"/>
      <c r="N42" s="95"/>
      <c r="O42" s="34"/>
    </row>
    <row r="43" spans="2:18" ht="16" x14ac:dyDescent="0.2">
      <c r="B43" s="45" t="s">
        <v>31</v>
      </c>
      <c r="C43" s="7"/>
      <c r="D43" s="7"/>
      <c r="E43" s="7"/>
      <c r="F43" s="7"/>
      <c r="G43" s="7"/>
      <c r="H43" s="31"/>
      <c r="I43" s="31"/>
      <c r="J43" s="20"/>
      <c r="K43" s="96"/>
      <c r="L43" s="95"/>
      <c r="M43" s="95"/>
      <c r="N43" s="95"/>
      <c r="O43" s="34"/>
    </row>
    <row r="44" spans="2:18" x14ac:dyDescent="0.2">
      <c r="B44" s="45" t="s">
        <v>32</v>
      </c>
      <c r="C44" s="7"/>
      <c r="D44" s="7"/>
      <c r="E44" s="7"/>
      <c r="F44" s="7"/>
      <c r="G44" s="7"/>
      <c r="H44" s="31"/>
      <c r="I44" s="31"/>
      <c r="J44" s="20"/>
      <c r="K44" s="95"/>
      <c r="L44" s="95"/>
      <c r="M44" s="95"/>
      <c r="N44" s="95"/>
      <c r="O44" s="34"/>
    </row>
    <row r="45" spans="2:18" s="98" customFormat="1" x14ac:dyDescent="0.2">
      <c r="B45" s="16" t="s">
        <v>33</v>
      </c>
      <c r="C45" s="97"/>
      <c r="D45" s="97"/>
      <c r="E45" s="97"/>
      <c r="F45" s="97"/>
      <c r="G45" s="97"/>
      <c r="H45" s="23"/>
      <c r="I45" s="23"/>
      <c r="J45" s="69"/>
      <c r="K45" s="23"/>
      <c r="L45" s="23"/>
      <c r="M45" s="23"/>
      <c r="N45" s="23"/>
      <c r="O45" s="69"/>
    </row>
    <row r="46" spans="2:18" x14ac:dyDescent="0.2">
      <c r="B46" s="16"/>
      <c r="C46" s="7"/>
      <c r="D46" s="7"/>
      <c r="E46" s="7"/>
      <c r="F46" s="7"/>
      <c r="G46" s="7"/>
      <c r="H46" s="7"/>
      <c r="I46" s="7"/>
      <c r="J46" s="25"/>
      <c r="K46" s="7"/>
      <c r="L46" s="7"/>
      <c r="M46" s="7"/>
      <c r="N46" s="7"/>
      <c r="O46" s="25"/>
    </row>
    <row r="47" spans="2:18" x14ac:dyDescent="0.2">
      <c r="B47" s="16" t="s">
        <v>34</v>
      </c>
      <c r="C47" s="7"/>
      <c r="D47" s="7"/>
      <c r="E47" s="7"/>
      <c r="F47" s="7"/>
      <c r="G47" s="7"/>
      <c r="H47" s="7"/>
      <c r="I47" s="7"/>
      <c r="J47" s="25"/>
      <c r="K47" s="99"/>
      <c r="L47" s="99"/>
      <c r="M47" s="99"/>
      <c r="N47" s="99"/>
      <c r="O47" s="100"/>
    </row>
    <row r="48" spans="2:18" ht="16" x14ac:dyDescent="0.2">
      <c r="B48" s="26" t="s">
        <v>35</v>
      </c>
      <c r="C48" s="7"/>
      <c r="D48" s="7"/>
      <c r="E48" s="7"/>
      <c r="F48" s="7"/>
      <c r="G48" s="7"/>
      <c r="H48" s="54"/>
      <c r="I48" s="54"/>
      <c r="J48" s="101"/>
      <c r="K48" s="96"/>
      <c r="L48" s="96"/>
      <c r="M48" s="96"/>
      <c r="N48" s="96"/>
      <c r="O48" s="102"/>
      <c r="R48" s="103"/>
    </row>
    <row r="49" spans="2:15" x14ac:dyDescent="0.2">
      <c r="B49" s="26" t="s">
        <v>36</v>
      </c>
      <c r="C49" s="7"/>
      <c r="D49" s="7"/>
      <c r="E49" s="7"/>
      <c r="F49" s="7"/>
      <c r="G49" s="7"/>
      <c r="H49" s="54"/>
      <c r="I49" s="54"/>
      <c r="J49" s="101"/>
      <c r="K49" s="95"/>
      <c r="L49" s="95"/>
      <c r="M49" s="95"/>
      <c r="N49" s="95"/>
      <c r="O49" s="34"/>
    </row>
    <row r="50" spans="2:15" x14ac:dyDescent="0.2">
      <c r="B50" s="26" t="s">
        <v>37</v>
      </c>
      <c r="C50" s="7"/>
      <c r="D50" s="7"/>
      <c r="E50" s="7"/>
      <c r="F50" s="7"/>
      <c r="G50" s="7"/>
      <c r="H50" s="54"/>
      <c r="I50" s="54"/>
      <c r="J50" s="101"/>
      <c r="K50" s="95"/>
      <c r="L50" s="95"/>
      <c r="M50" s="95"/>
      <c r="N50" s="95"/>
      <c r="O50" s="34"/>
    </row>
    <row r="51" spans="2:15" x14ac:dyDescent="0.2">
      <c r="B51" s="26" t="s">
        <v>38</v>
      </c>
      <c r="C51" s="7"/>
      <c r="D51" s="7"/>
      <c r="E51" s="7"/>
      <c r="F51" s="7"/>
      <c r="G51" s="7"/>
      <c r="H51" s="54"/>
      <c r="I51" s="54"/>
      <c r="J51" s="101"/>
      <c r="K51" s="95"/>
      <c r="L51" s="95"/>
      <c r="M51" s="95"/>
      <c r="N51" s="95"/>
      <c r="O51" s="34"/>
    </row>
    <row r="52" spans="2:15" x14ac:dyDescent="0.2">
      <c r="B52" s="26" t="s">
        <v>39</v>
      </c>
      <c r="C52" s="7"/>
      <c r="D52" s="7"/>
      <c r="E52" s="7"/>
      <c r="F52" s="7"/>
      <c r="G52" s="7"/>
      <c r="H52" s="54"/>
      <c r="I52" s="54"/>
      <c r="J52" s="101"/>
      <c r="K52" s="95"/>
      <c r="L52" s="95"/>
      <c r="M52" s="95"/>
      <c r="N52" s="95"/>
      <c r="O52" s="34"/>
    </row>
    <row r="53" spans="2:15" x14ac:dyDescent="0.2">
      <c r="B53" s="26" t="s">
        <v>40</v>
      </c>
      <c r="C53" s="7"/>
      <c r="D53" s="7"/>
      <c r="E53" s="7"/>
      <c r="F53" s="7"/>
      <c r="G53" s="7"/>
      <c r="H53" s="54"/>
      <c r="I53" s="54"/>
      <c r="J53" s="101"/>
      <c r="K53" s="95"/>
      <c r="L53" s="95"/>
      <c r="M53" s="95"/>
      <c r="N53" s="95"/>
      <c r="O53" s="104"/>
    </row>
    <row r="54" spans="2:15" x14ac:dyDescent="0.2">
      <c r="B54" s="105" t="s">
        <v>41</v>
      </c>
      <c r="C54" s="7"/>
      <c r="D54" s="7"/>
      <c r="E54" s="7"/>
      <c r="F54" s="7"/>
      <c r="G54" s="7"/>
      <c r="H54" s="41"/>
      <c r="I54" s="41"/>
      <c r="J54" s="52"/>
      <c r="K54" s="42"/>
      <c r="L54" s="43"/>
      <c r="M54" s="43"/>
      <c r="N54" s="43"/>
      <c r="O54" s="44"/>
    </row>
    <row r="55" spans="2:15" ht="16" x14ac:dyDescent="0.2">
      <c r="B55" s="6"/>
      <c r="C55" s="7"/>
      <c r="D55" s="7"/>
      <c r="E55" s="7"/>
      <c r="F55" s="7"/>
      <c r="G55" s="7"/>
      <c r="H55" s="7"/>
      <c r="I55" s="7"/>
      <c r="J55" s="25"/>
      <c r="K55" s="96"/>
      <c r="L55" s="96"/>
      <c r="M55" s="96"/>
      <c r="N55" s="96"/>
      <c r="O55" s="102"/>
    </row>
    <row r="56" spans="2:15" x14ac:dyDescent="0.2">
      <c r="B56" s="106" t="s">
        <v>42</v>
      </c>
      <c r="C56" s="107"/>
      <c r="D56" s="107"/>
      <c r="E56" s="107"/>
      <c r="F56" s="107"/>
      <c r="G56" s="107"/>
      <c r="H56" s="108"/>
      <c r="I56" s="108"/>
      <c r="J56" s="109"/>
      <c r="K56" s="110"/>
      <c r="L56" s="111"/>
      <c r="M56" s="111"/>
      <c r="N56" s="111"/>
      <c r="O56" s="112"/>
    </row>
    <row r="57" spans="2:15" x14ac:dyDescent="0.2">
      <c r="B57" s="45"/>
      <c r="C57" s="7"/>
      <c r="D57" s="7"/>
      <c r="E57" s="7"/>
      <c r="F57" s="7"/>
      <c r="G57" s="7"/>
      <c r="H57" s="7"/>
      <c r="I57" s="7"/>
      <c r="J57" s="25"/>
      <c r="K57" s="7"/>
      <c r="L57" s="113"/>
      <c r="M57" s="7"/>
      <c r="N57" s="7"/>
      <c r="O57" s="114"/>
    </row>
    <row r="58" spans="2:15" x14ac:dyDescent="0.2">
      <c r="B58" s="30" t="s">
        <v>43</v>
      </c>
      <c r="C58" s="7"/>
      <c r="D58" s="7"/>
      <c r="E58" s="7"/>
      <c r="F58" s="7"/>
      <c r="G58" s="7"/>
      <c r="H58" s="7"/>
      <c r="I58" s="7"/>
      <c r="J58" s="25"/>
      <c r="K58" s="113"/>
      <c r="L58" s="113"/>
      <c r="M58" s="113"/>
      <c r="N58" s="113"/>
      <c r="O58" s="115"/>
    </row>
    <row r="59" spans="2:15" x14ac:dyDescent="0.2">
      <c r="B59" s="30"/>
      <c r="C59" s="7"/>
      <c r="D59" s="7"/>
      <c r="E59" s="7"/>
      <c r="F59" s="7"/>
      <c r="G59" s="7"/>
      <c r="H59" s="7"/>
      <c r="I59" s="7"/>
      <c r="J59" s="25"/>
      <c r="K59" s="113"/>
      <c r="L59" s="113"/>
      <c r="M59" s="113"/>
      <c r="N59" s="113"/>
      <c r="O59" s="115"/>
    </row>
    <row r="60" spans="2:15" x14ac:dyDescent="0.2">
      <c r="B60" s="16" t="s">
        <v>44</v>
      </c>
      <c r="C60" s="7"/>
      <c r="D60" s="7"/>
      <c r="E60" s="7"/>
      <c r="F60" s="7"/>
      <c r="G60" s="7"/>
      <c r="H60" s="7"/>
      <c r="I60" s="113"/>
      <c r="J60" s="115"/>
      <c r="K60" s="7"/>
      <c r="L60" s="7"/>
      <c r="M60" s="7"/>
      <c r="N60" s="7"/>
      <c r="O60" s="25"/>
    </row>
    <row r="61" spans="2:15" x14ac:dyDescent="0.2">
      <c r="B61" s="26" t="s">
        <v>45</v>
      </c>
      <c r="C61" s="7"/>
      <c r="D61" s="7"/>
      <c r="E61" s="7"/>
      <c r="F61" s="7"/>
      <c r="G61" s="7"/>
      <c r="H61" s="31"/>
      <c r="I61" s="31"/>
      <c r="J61" s="20"/>
      <c r="K61" s="95"/>
      <c r="L61" s="95"/>
      <c r="M61" s="95"/>
      <c r="N61" s="95"/>
      <c r="O61" s="34"/>
    </row>
    <row r="62" spans="2:15" x14ac:dyDescent="0.2">
      <c r="B62" s="26" t="s">
        <v>46</v>
      </c>
      <c r="C62" s="7"/>
      <c r="D62" s="7"/>
      <c r="E62" s="7"/>
      <c r="F62" s="7"/>
      <c r="G62" s="7"/>
      <c r="H62" s="31"/>
      <c r="I62" s="31"/>
      <c r="J62" s="20"/>
      <c r="K62" s="95"/>
      <c r="L62" s="95"/>
      <c r="M62" s="95"/>
      <c r="N62" s="95"/>
      <c r="O62" s="34"/>
    </row>
    <row r="63" spans="2:15" x14ac:dyDescent="0.2">
      <c r="B63" s="26" t="s">
        <v>47</v>
      </c>
      <c r="C63" s="7"/>
      <c r="D63" s="7"/>
      <c r="E63" s="7"/>
      <c r="F63" s="7"/>
      <c r="G63" s="7"/>
      <c r="H63" s="31"/>
      <c r="I63" s="31"/>
      <c r="J63" s="20"/>
      <c r="K63" s="95"/>
      <c r="L63" s="95"/>
      <c r="M63" s="95"/>
      <c r="N63" s="95"/>
      <c r="O63" s="34"/>
    </row>
    <row r="64" spans="2:15" x14ac:dyDescent="0.2">
      <c r="B64" s="105" t="s">
        <v>48</v>
      </c>
      <c r="C64" s="7"/>
      <c r="D64" s="7"/>
      <c r="E64" s="7"/>
      <c r="F64" s="7"/>
      <c r="G64" s="7"/>
      <c r="H64" s="41"/>
      <c r="I64" s="41"/>
      <c r="J64" s="52"/>
      <c r="K64" s="43"/>
      <c r="L64" s="43"/>
      <c r="M64" s="43"/>
      <c r="N64" s="43"/>
      <c r="O64" s="44"/>
    </row>
    <row r="65" spans="2:15" x14ac:dyDescent="0.2">
      <c r="B65" s="30"/>
      <c r="C65" s="7"/>
      <c r="D65" s="7"/>
      <c r="E65" s="7"/>
      <c r="F65" s="7"/>
      <c r="G65" s="7"/>
      <c r="H65" s="7"/>
      <c r="I65" s="7"/>
      <c r="J65" s="116"/>
      <c r="K65" s="113"/>
      <c r="L65" s="113"/>
      <c r="M65" s="113"/>
      <c r="N65" s="113"/>
      <c r="O65" s="115"/>
    </row>
    <row r="66" spans="2:15" x14ac:dyDescent="0.2">
      <c r="B66" s="6"/>
      <c r="C66" s="7"/>
      <c r="D66" s="7"/>
      <c r="E66" s="7"/>
      <c r="F66" s="7"/>
      <c r="G66" s="7"/>
      <c r="H66" s="7"/>
      <c r="I66" s="7"/>
      <c r="J66" s="25"/>
      <c r="K66" s="113"/>
      <c r="L66" s="113"/>
      <c r="M66" s="113"/>
      <c r="N66" s="113"/>
      <c r="O66" s="115"/>
    </row>
    <row r="67" spans="2:15" x14ac:dyDescent="0.2">
      <c r="B67" s="30" t="s">
        <v>49</v>
      </c>
      <c r="C67" s="7"/>
      <c r="D67" s="7"/>
      <c r="E67" s="7"/>
      <c r="F67" s="7"/>
      <c r="G67" s="7"/>
      <c r="H67" s="7"/>
      <c r="I67" s="7"/>
      <c r="J67" s="25"/>
      <c r="K67" s="113"/>
      <c r="L67" s="113"/>
      <c r="M67" s="113"/>
      <c r="N67" s="113"/>
      <c r="O67" s="115"/>
    </row>
    <row r="68" spans="2:15" x14ac:dyDescent="0.2">
      <c r="B68" s="30" t="s">
        <v>50</v>
      </c>
      <c r="C68" s="7"/>
      <c r="D68" s="7"/>
      <c r="E68" s="7"/>
      <c r="F68" s="7"/>
      <c r="G68" s="7"/>
      <c r="H68" s="7"/>
      <c r="I68" s="7"/>
      <c r="J68" s="25"/>
      <c r="K68" s="113"/>
      <c r="L68" s="113"/>
      <c r="M68" s="113"/>
      <c r="N68" s="113"/>
      <c r="O68" s="115"/>
    </row>
    <row r="69" spans="2:15" x14ac:dyDescent="0.2">
      <c r="B69" s="26" t="s">
        <v>51</v>
      </c>
      <c r="C69" s="7"/>
      <c r="D69" s="7"/>
      <c r="E69" s="7"/>
      <c r="F69" s="7"/>
      <c r="G69" s="7"/>
      <c r="H69" s="31"/>
      <c r="I69" s="31"/>
      <c r="J69" s="20"/>
      <c r="K69" s="95"/>
      <c r="L69" s="95"/>
      <c r="M69" s="95"/>
      <c r="N69" s="95"/>
      <c r="O69" s="34"/>
    </row>
    <row r="70" spans="2:15" x14ac:dyDescent="0.2">
      <c r="B70" s="26" t="s">
        <v>52</v>
      </c>
      <c r="C70" s="7"/>
      <c r="D70" s="7"/>
      <c r="E70" s="7"/>
      <c r="F70" s="7"/>
      <c r="G70" s="7"/>
      <c r="H70" s="31"/>
      <c r="I70" s="31"/>
      <c r="J70" s="20"/>
      <c r="K70" s="95"/>
      <c r="L70" s="95"/>
      <c r="M70" s="95"/>
      <c r="N70" s="95"/>
      <c r="O70" s="34"/>
    </row>
    <row r="71" spans="2:15" x14ac:dyDescent="0.2">
      <c r="B71" s="26" t="s">
        <v>53</v>
      </c>
      <c r="C71" s="7"/>
      <c r="D71" s="7"/>
      <c r="E71" s="7"/>
      <c r="F71" s="7"/>
      <c r="G71" s="7"/>
      <c r="H71" s="31"/>
      <c r="I71" s="31"/>
      <c r="J71" s="20"/>
      <c r="K71" s="95"/>
      <c r="L71" s="95"/>
      <c r="M71" s="95"/>
      <c r="N71" s="95"/>
      <c r="O71" s="34"/>
    </row>
    <row r="72" spans="2:15" x14ac:dyDescent="0.2">
      <c r="B72" s="26" t="s">
        <v>54</v>
      </c>
      <c r="C72" s="7"/>
      <c r="D72" s="7"/>
      <c r="E72" s="7"/>
      <c r="F72" s="7"/>
      <c r="G72" s="7"/>
      <c r="H72" s="31"/>
      <c r="I72" s="31"/>
      <c r="J72" s="20"/>
      <c r="K72" s="95"/>
      <c r="L72" s="95"/>
      <c r="M72" s="95"/>
      <c r="N72" s="95"/>
      <c r="O72" s="34"/>
    </row>
    <row r="73" spans="2:15" x14ac:dyDescent="0.2">
      <c r="B73" s="26" t="s">
        <v>55</v>
      </c>
      <c r="C73" s="7"/>
      <c r="D73" s="7"/>
      <c r="E73" s="7"/>
      <c r="F73" s="7"/>
      <c r="G73" s="7"/>
      <c r="H73" s="31"/>
      <c r="I73" s="31"/>
      <c r="J73" s="20"/>
      <c r="K73" s="95"/>
      <c r="L73" s="95"/>
      <c r="M73" s="95"/>
      <c r="N73" s="95"/>
      <c r="O73" s="34"/>
    </row>
    <row r="74" spans="2:15" x14ac:dyDescent="0.2">
      <c r="B74" s="105" t="s">
        <v>56</v>
      </c>
      <c r="C74" s="7"/>
      <c r="D74" s="7"/>
      <c r="E74" s="7"/>
      <c r="F74" s="7"/>
      <c r="G74" s="7"/>
      <c r="H74" s="41"/>
      <c r="I74" s="41"/>
      <c r="J74" s="52"/>
      <c r="K74" s="43"/>
      <c r="L74" s="43"/>
      <c r="M74" s="43"/>
      <c r="N74" s="43"/>
      <c r="O74" s="44"/>
    </row>
    <row r="75" spans="2:15" x14ac:dyDescent="0.2">
      <c r="B75" s="30"/>
      <c r="C75" s="7"/>
      <c r="D75" s="7"/>
      <c r="E75" s="7"/>
      <c r="F75" s="7"/>
      <c r="G75" s="7"/>
      <c r="H75" s="7"/>
      <c r="I75" s="7"/>
      <c r="J75" s="25"/>
      <c r="K75" s="113"/>
      <c r="L75" s="113"/>
      <c r="M75" s="113"/>
      <c r="N75" s="113"/>
      <c r="O75" s="115"/>
    </row>
    <row r="76" spans="2:15" x14ac:dyDescent="0.2">
      <c r="B76" s="30" t="s">
        <v>57</v>
      </c>
      <c r="C76" s="7"/>
      <c r="D76" s="7"/>
      <c r="E76" s="7"/>
      <c r="F76" s="7"/>
      <c r="G76" s="7"/>
      <c r="H76" s="7"/>
      <c r="I76" s="7"/>
      <c r="J76" s="25"/>
      <c r="K76" s="7"/>
      <c r="L76" s="7"/>
      <c r="M76" s="7"/>
      <c r="N76" s="7"/>
      <c r="O76" s="25"/>
    </row>
    <row r="77" spans="2:15" x14ac:dyDescent="0.2">
      <c r="B77" s="26" t="s">
        <v>58</v>
      </c>
      <c r="C77" s="7"/>
      <c r="D77" s="7"/>
      <c r="E77" s="7"/>
      <c r="F77" s="7"/>
      <c r="G77" s="7"/>
      <c r="H77" s="31"/>
      <c r="I77" s="31"/>
      <c r="J77" s="20"/>
      <c r="K77" s="117"/>
      <c r="L77" s="117"/>
      <c r="M77" s="117"/>
      <c r="N77" s="117"/>
      <c r="O77" s="118"/>
    </row>
    <row r="78" spans="2:15" x14ac:dyDescent="0.2">
      <c r="B78" s="26" t="s">
        <v>52</v>
      </c>
      <c r="C78" s="7"/>
      <c r="D78" s="7"/>
      <c r="E78" s="7"/>
      <c r="F78" s="7"/>
      <c r="G78" s="7"/>
      <c r="H78" s="31"/>
      <c r="I78" s="31"/>
      <c r="J78" s="20"/>
      <c r="K78" s="117"/>
      <c r="L78" s="117"/>
      <c r="M78" s="117"/>
      <c r="N78" s="117"/>
      <c r="O78" s="118"/>
    </row>
    <row r="79" spans="2:15" x14ac:dyDescent="0.2">
      <c r="B79" s="26" t="s">
        <v>59</v>
      </c>
      <c r="C79" s="7"/>
      <c r="D79" s="7"/>
      <c r="E79" s="7"/>
      <c r="F79" s="7"/>
      <c r="G79" s="7"/>
      <c r="H79" s="31"/>
      <c r="I79" s="31"/>
      <c r="J79" s="20"/>
      <c r="K79" s="117"/>
      <c r="L79" s="117"/>
      <c r="M79" s="117"/>
      <c r="N79" s="117"/>
      <c r="O79" s="118"/>
    </row>
    <row r="80" spans="2:15" x14ac:dyDescent="0.2">
      <c r="B80" s="26" t="s">
        <v>60</v>
      </c>
      <c r="C80" s="7"/>
      <c r="D80" s="7"/>
      <c r="E80" s="7"/>
      <c r="F80" s="7"/>
      <c r="G80" s="7"/>
      <c r="H80" s="31"/>
      <c r="I80" s="31"/>
      <c r="J80" s="20"/>
      <c r="K80" s="117"/>
      <c r="L80" s="117"/>
      <c r="M80" s="117"/>
      <c r="N80" s="117"/>
      <c r="O80" s="118"/>
    </row>
    <row r="81" spans="2:15" x14ac:dyDescent="0.2">
      <c r="B81" s="26" t="s">
        <v>61</v>
      </c>
      <c r="C81" s="7"/>
      <c r="D81" s="7"/>
      <c r="E81" s="7"/>
      <c r="F81" s="7"/>
      <c r="G81" s="7"/>
      <c r="H81" s="119"/>
      <c r="I81" s="31"/>
      <c r="J81" s="20"/>
      <c r="K81" s="117"/>
      <c r="L81" s="117"/>
      <c r="M81" s="117"/>
      <c r="N81" s="117"/>
      <c r="O81" s="118"/>
    </row>
    <row r="82" spans="2:15" x14ac:dyDescent="0.2">
      <c r="B82" s="26" t="s">
        <v>62</v>
      </c>
      <c r="C82" s="7"/>
      <c r="D82" s="7"/>
      <c r="E82" s="7"/>
      <c r="F82" s="7"/>
      <c r="G82" s="7"/>
      <c r="H82" s="31"/>
      <c r="I82" s="31"/>
      <c r="J82" s="20"/>
      <c r="K82" s="117"/>
      <c r="L82" s="117"/>
      <c r="M82" s="117"/>
      <c r="N82" s="117"/>
      <c r="O82" s="118"/>
    </row>
    <row r="83" spans="2:15" x14ac:dyDescent="0.2">
      <c r="B83" s="26" t="s">
        <v>54</v>
      </c>
      <c r="C83" s="7"/>
      <c r="D83" s="7"/>
      <c r="E83" s="7"/>
      <c r="F83" s="7"/>
      <c r="G83" s="7"/>
      <c r="H83" s="31"/>
      <c r="I83" s="31"/>
      <c r="J83" s="20"/>
      <c r="K83" s="117"/>
      <c r="L83" s="117"/>
      <c r="M83" s="117"/>
      <c r="N83" s="117"/>
      <c r="O83" s="118"/>
    </row>
    <row r="84" spans="2:15" x14ac:dyDescent="0.2">
      <c r="B84" s="105" t="s">
        <v>63</v>
      </c>
      <c r="C84" s="7"/>
      <c r="D84" s="7"/>
      <c r="E84" s="7"/>
      <c r="F84" s="7"/>
      <c r="G84" s="7"/>
      <c r="H84" s="41"/>
      <c r="I84" s="41"/>
      <c r="J84" s="41"/>
      <c r="K84" s="51"/>
      <c r="L84" s="41"/>
      <c r="M84" s="41"/>
      <c r="N84" s="41"/>
      <c r="O84" s="52"/>
    </row>
    <row r="85" spans="2:15" x14ac:dyDescent="0.2">
      <c r="B85" s="6"/>
      <c r="C85" s="7"/>
      <c r="D85" s="7"/>
      <c r="E85" s="7"/>
      <c r="F85" s="7"/>
      <c r="G85" s="7"/>
      <c r="H85" s="7"/>
      <c r="I85" s="7"/>
      <c r="J85" s="25"/>
      <c r="K85" s="7"/>
      <c r="L85" s="7"/>
      <c r="M85" s="7"/>
      <c r="N85" s="7"/>
      <c r="O85" s="25"/>
    </row>
    <row r="86" spans="2:15" x14ac:dyDescent="0.2">
      <c r="B86" s="120" t="s">
        <v>64</v>
      </c>
      <c r="C86" s="107"/>
      <c r="D86" s="107"/>
      <c r="E86" s="107"/>
      <c r="F86" s="107"/>
      <c r="G86" s="107"/>
      <c r="H86" s="108"/>
      <c r="I86" s="108"/>
      <c r="J86" s="109"/>
      <c r="K86" s="108"/>
      <c r="L86" s="108"/>
      <c r="M86" s="108"/>
      <c r="N86" s="108"/>
      <c r="O86" s="109"/>
    </row>
    <row r="87" spans="2:15" x14ac:dyDescent="0.2">
      <c r="B87" s="121"/>
      <c r="C87" s="122"/>
      <c r="D87" s="122"/>
      <c r="E87" s="122"/>
      <c r="F87" s="122"/>
      <c r="G87" s="122"/>
      <c r="H87" s="122"/>
      <c r="I87" s="122"/>
      <c r="J87" s="123"/>
      <c r="K87" s="122"/>
      <c r="L87" s="122"/>
      <c r="M87" s="122"/>
      <c r="N87" s="122"/>
      <c r="O87" s="123"/>
    </row>
    <row r="88" spans="2:15" x14ac:dyDescent="0.2">
      <c r="B88" s="124" t="s">
        <v>65</v>
      </c>
      <c r="H88" s="125"/>
      <c r="I88" s="125"/>
      <c r="J88" s="125"/>
      <c r="K88" s="125"/>
      <c r="L88" s="125"/>
      <c r="M88" s="125"/>
      <c r="N88" s="125"/>
      <c r="O88" s="125"/>
    </row>
    <row r="89" spans="2:15" ht="16" x14ac:dyDescent="0.2">
      <c r="K89" s="126"/>
      <c r="L89" s="125"/>
      <c r="M89" s="125"/>
      <c r="N89" s="125"/>
      <c r="O89" s="125"/>
    </row>
    <row r="91" spans="2:15" x14ac:dyDescent="0.2">
      <c r="L91" s="127"/>
      <c r="M91" s="127"/>
      <c r="N91" s="127"/>
      <c r="O91" s="127"/>
    </row>
    <row r="92" spans="2:15" x14ac:dyDescent="0.2">
      <c r="B92" s="1" t="str">
        <f>"Cash Flow Statement - "&amp;Company_Name</f>
        <v>Cash Flow Statement - Avenue Supermarts Ltd</v>
      </c>
      <c r="C92" s="2"/>
      <c r="D92" s="2"/>
      <c r="E92" s="2"/>
      <c r="F92" s="2"/>
      <c r="G92" s="2"/>
      <c r="H92" s="2"/>
      <c r="I92" s="3"/>
      <c r="J92" s="3"/>
      <c r="K92" s="3"/>
      <c r="L92" s="3"/>
      <c r="M92" s="3"/>
      <c r="N92" s="3"/>
      <c r="O92" s="4" t="s">
        <v>0</v>
      </c>
    </row>
    <row r="93" spans="2:15" x14ac:dyDescent="0.2">
      <c r="B93" s="6"/>
      <c r="C93" s="7"/>
      <c r="D93" s="7"/>
      <c r="E93" s="7"/>
      <c r="F93" s="7"/>
      <c r="G93" s="7"/>
      <c r="H93" s="8" t="s">
        <v>1</v>
      </c>
      <c r="I93" s="8"/>
      <c r="J93" s="9"/>
      <c r="K93" s="8" t="s">
        <v>2</v>
      </c>
      <c r="L93" s="8"/>
      <c r="M93" s="8"/>
      <c r="N93" s="8"/>
      <c r="O93" s="9"/>
    </row>
    <row r="94" spans="2:15" x14ac:dyDescent="0.2">
      <c r="B94" s="6"/>
      <c r="C94" s="7"/>
      <c r="D94" s="7"/>
      <c r="E94" s="7"/>
      <c r="F94" s="7"/>
      <c r="G94" s="7"/>
      <c r="H94" s="7"/>
      <c r="I94" s="11" t="str">
        <f>"FY "&amp;YEAR(Hist_Year)-1</f>
        <v>FY 2019</v>
      </c>
      <c r="J94" s="12" t="str">
        <f>"FY "&amp;YEAR(Hist_Year)</f>
        <v>FY 2020</v>
      </c>
      <c r="K94" s="11" t="str">
        <f>"FY "&amp;YEAR(Hist_Year)+1&amp;"E"</f>
        <v>FY 2021E</v>
      </c>
      <c r="L94" s="11" t="str">
        <f>"FY "&amp;YEAR(Hist_Year)+2&amp;"E"</f>
        <v>FY 2022E</v>
      </c>
      <c r="M94" s="11" t="str">
        <f>"FY "&amp;YEAR(Hist_Year)+3&amp;"E"</f>
        <v>FY 2023E</v>
      </c>
      <c r="N94" s="11" t="str">
        <f>"FY "&amp;YEAR(Hist_Year)+4&amp;"E"</f>
        <v>FY 2024E</v>
      </c>
      <c r="O94" s="128" t="str">
        <f>"FY "&amp;YEAR(Hist_Year)+5&amp;"E"</f>
        <v>FY 2025E</v>
      </c>
    </row>
    <row r="95" spans="2:15" x14ac:dyDescent="0.2">
      <c r="B95" s="16" t="s">
        <v>66</v>
      </c>
      <c r="C95" s="7"/>
      <c r="D95" s="7"/>
      <c r="E95" s="7"/>
      <c r="F95" s="7"/>
      <c r="G95" s="7"/>
      <c r="H95" s="11"/>
      <c r="I95" s="11"/>
      <c r="J95" s="12"/>
      <c r="K95" s="129"/>
      <c r="L95" s="11"/>
      <c r="M95" s="11"/>
      <c r="N95" s="11"/>
      <c r="O95" s="12"/>
    </row>
    <row r="96" spans="2:15" x14ac:dyDescent="0.2">
      <c r="B96" s="16" t="s">
        <v>67</v>
      </c>
      <c r="C96" s="7"/>
      <c r="D96" s="7"/>
      <c r="E96" s="7"/>
      <c r="F96" s="7"/>
      <c r="G96" s="7"/>
      <c r="H96" s="7"/>
      <c r="I96" s="130"/>
      <c r="J96" s="131"/>
      <c r="K96" s="132"/>
      <c r="L96" s="132"/>
      <c r="M96" s="132"/>
      <c r="N96" s="132"/>
      <c r="O96" s="18"/>
    </row>
    <row r="97" spans="2:15" x14ac:dyDescent="0.2">
      <c r="B97" s="16" t="s">
        <v>68</v>
      </c>
      <c r="C97" s="7"/>
      <c r="D97" s="7"/>
      <c r="E97" s="7"/>
      <c r="F97" s="7"/>
      <c r="G97" s="7"/>
      <c r="H97" s="7"/>
      <c r="I97" s="130"/>
      <c r="J97" s="131"/>
      <c r="K97" s="99"/>
      <c r="L97" s="7"/>
      <c r="M97" s="7"/>
      <c r="N97" s="7"/>
      <c r="O97" s="25"/>
    </row>
    <row r="98" spans="2:15" x14ac:dyDescent="0.2">
      <c r="B98" s="26" t="s">
        <v>69</v>
      </c>
      <c r="C98" s="7"/>
      <c r="D98" s="7"/>
      <c r="E98" s="7"/>
      <c r="F98" s="7"/>
      <c r="G98" s="7"/>
      <c r="H98" s="7"/>
      <c r="I98" s="130"/>
      <c r="J98" s="131"/>
      <c r="K98" s="133"/>
      <c r="L98" s="133"/>
      <c r="M98" s="133"/>
      <c r="N98" s="133"/>
      <c r="O98" s="134"/>
    </row>
    <row r="99" spans="2:15" x14ac:dyDescent="0.2">
      <c r="B99" s="26" t="s">
        <v>13</v>
      </c>
      <c r="C99" s="7"/>
      <c r="D99" s="7"/>
      <c r="E99" s="7"/>
      <c r="F99" s="7"/>
      <c r="G99" s="7"/>
      <c r="H99" s="7"/>
      <c r="I99" s="130"/>
      <c r="J99" s="131"/>
      <c r="K99" s="133"/>
      <c r="L99" s="133"/>
      <c r="M99" s="133"/>
      <c r="N99" s="133"/>
      <c r="O99" s="134"/>
    </row>
    <row r="100" spans="2:15" x14ac:dyDescent="0.2">
      <c r="B100" s="26" t="s">
        <v>70</v>
      </c>
      <c r="C100" s="7"/>
      <c r="D100" s="7"/>
      <c r="E100" s="7"/>
      <c r="F100" s="7"/>
      <c r="G100" s="7"/>
      <c r="H100" s="7"/>
      <c r="I100" s="130"/>
      <c r="J100" s="131"/>
      <c r="K100" s="133"/>
      <c r="L100" s="133"/>
      <c r="M100" s="133"/>
      <c r="N100" s="133"/>
      <c r="O100" s="134"/>
    </row>
    <row r="101" spans="2:15" x14ac:dyDescent="0.2">
      <c r="B101" s="26" t="s">
        <v>71</v>
      </c>
      <c r="C101" s="7"/>
      <c r="D101" s="7"/>
      <c r="E101" s="7"/>
      <c r="F101" s="7"/>
      <c r="G101" s="7"/>
      <c r="H101" s="7"/>
      <c r="I101" s="130"/>
      <c r="J101" s="131"/>
      <c r="K101" s="133"/>
      <c r="L101" s="133"/>
      <c r="M101" s="133"/>
      <c r="N101" s="133"/>
      <c r="O101" s="134"/>
    </row>
    <row r="102" spans="2:15" x14ac:dyDescent="0.2">
      <c r="B102" s="26" t="s">
        <v>72</v>
      </c>
      <c r="C102" s="7"/>
      <c r="D102" s="7"/>
      <c r="E102" s="7"/>
      <c r="F102" s="7"/>
      <c r="G102" s="7"/>
      <c r="H102" s="7"/>
      <c r="I102" s="130"/>
      <c r="J102" s="131"/>
      <c r="K102" s="133"/>
      <c r="L102" s="133"/>
      <c r="M102" s="133"/>
      <c r="N102" s="133"/>
      <c r="O102" s="134"/>
    </row>
    <row r="103" spans="2:15" x14ac:dyDescent="0.2">
      <c r="B103" s="26" t="s">
        <v>73</v>
      </c>
      <c r="C103" s="7"/>
      <c r="D103" s="7"/>
      <c r="E103" s="7"/>
      <c r="F103" s="7"/>
      <c r="G103" s="7"/>
      <c r="H103" s="7"/>
      <c r="I103" s="130"/>
      <c r="J103" s="131"/>
      <c r="K103" s="133"/>
      <c r="L103" s="133"/>
      <c r="M103" s="133"/>
      <c r="N103" s="133"/>
      <c r="O103" s="134"/>
    </row>
    <row r="104" spans="2:15" x14ac:dyDescent="0.2">
      <c r="B104" s="26" t="s">
        <v>74</v>
      </c>
      <c r="C104" s="7"/>
      <c r="D104" s="7"/>
      <c r="E104" s="7"/>
      <c r="F104" s="7"/>
      <c r="G104" s="7"/>
      <c r="H104" s="7"/>
      <c r="I104" s="130"/>
      <c r="J104" s="131"/>
      <c r="K104" s="133"/>
      <c r="L104" s="133"/>
      <c r="M104" s="133"/>
      <c r="N104" s="133"/>
      <c r="O104" s="134"/>
    </row>
    <row r="105" spans="2:15" x14ac:dyDescent="0.2">
      <c r="B105" s="26"/>
      <c r="C105" s="7"/>
      <c r="D105" s="7"/>
      <c r="E105" s="7"/>
      <c r="F105" s="7"/>
      <c r="G105" s="7"/>
      <c r="H105" s="7"/>
      <c r="I105" s="7"/>
      <c r="J105" s="25"/>
      <c r="K105" s="135"/>
      <c r="L105" s="135"/>
      <c r="M105" s="135"/>
      <c r="N105" s="135"/>
      <c r="O105" s="136"/>
    </row>
    <row r="106" spans="2:15" x14ac:dyDescent="0.2">
      <c r="B106" s="16" t="s">
        <v>75</v>
      </c>
      <c r="C106" s="7"/>
      <c r="D106" s="7"/>
      <c r="E106" s="7"/>
      <c r="F106" s="7"/>
      <c r="G106" s="7"/>
      <c r="H106" s="7"/>
      <c r="I106" s="22"/>
      <c r="J106" s="69"/>
      <c r="K106" s="22"/>
      <c r="L106" s="22"/>
      <c r="M106" s="22"/>
      <c r="N106" s="22"/>
      <c r="O106" s="69"/>
    </row>
    <row r="107" spans="2:15" x14ac:dyDescent="0.2">
      <c r="B107" s="6"/>
      <c r="C107" s="7"/>
      <c r="D107" s="7"/>
      <c r="E107" s="7"/>
      <c r="F107" s="7"/>
      <c r="G107" s="7"/>
      <c r="H107" s="7"/>
      <c r="I107" s="137"/>
      <c r="J107" s="138"/>
      <c r="K107" s="137"/>
      <c r="L107" s="135"/>
      <c r="M107" s="135"/>
      <c r="N107" s="135"/>
      <c r="O107" s="136"/>
    </row>
    <row r="108" spans="2:15" x14ac:dyDescent="0.2">
      <c r="B108" s="21" t="s">
        <v>76</v>
      </c>
      <c r="C108" s="7"/>
      <c r="D108" s="7"/>
      <c r="E108" s="7"/>
      <c r="F108" s="7"/>
      <c r="G108" s="7"/>
      <c r="H108" s="7"/>
      <c r="I108" s="130"/>
      <c r="J108" s="100"/>
      <c r="K108" s="7"/>
      <c r="L108" s="7"/>
      <c r="M108" s="7"/>
      <c r="N108" s="7"/>
      <c r="O108" s="25"/>
    </row>
    <row r="109" spans="2:15" x14ac:dyDescent="0.2">
      <c r="B109" s="139" t="s">
        <v>77</v>
      </c>
      <c r="C109" s="7"/>
      <c r="D109" s="7"/>
      <c r="E109" s="7"/>
      <c r="F109" s="7"/>
      <c r="G109" s="7"/>
      <c r="H109" s="7"/>
      <c r="I109" s="130"/>
      <c r="J109" s="131"/>
      <c r="K109" s="133"/>
      <c r="L109" s="133"/>
      <c r="M109" s="133"/>
      <c r="N109" s="133"/>
      <c r="O109" s="134"/>
    </row>
    <row r="110" spans="2:15" x14ac:dyDescent="0.2">
      <c r="B110" s="139" t="s">
        <v>78</v>
      </c>
      <c r="C110" s="7"/>
      <c r="D110" s="7"/>
      <c r="E110" s="7"/>
      <c r="F110" s="7"/>
      <c r="G110" s="7"/>
      <c r="H110" s="7"/>
      <c r="I110" s="130"/>
      <c r="J110" s="131"/>
      <c r="K110" s="133"/>
      <c r="L110" s="133"/>
      <c r="M110" s="133"/>
      <c r="N110" s="133"/>
      <c r="O110" s="134"/>
    </row>
    <row r="111" spans="2:15" x14ac:dyDescent="0.2">
      <c r="B111" s="139" t="s">
        <v>79</v>
      </c>
      <c r="C111" s="7"/>
      <c r="D111" s="7"/>
      <c r="E111" s="7"/>
      <c r="F111" s="7"/>
      <c r="G111" s="7"/>
      <c r="H111" s="7"/>
      <c r="I111" s="130"/>
      <c r="J111" s="131"/>
      <c r="K111" s="133"/>
      <c r="L111" s="133"/>
      <c r="M111" s="133"/>
      <c r="N111" s="133"/>
      <c r="O111" s="134"/>
    </row>
    <row r="112" spans="2:15" x14ac:dyDescent="0.2">
      <c r="B112" s="139" t="s">
        <v>80</v>
      </c>
      <c r="C112" s="7"/>
      <c r="D112" s="7"/>
      <c r="E112" s="7"/>
      <c r="F112" s="7"/>
      <c r="G112" s="7"/>
      <c r="H112" s="7"/>
      <c r="I112" s="130"/>
      <c r="J112" s="131"/>
      <c r="K112" s="133"/>
      <c r="L112" s="133"/>
      <c r="M112" s="133"/>
      <c r="N112" s="133"/>
      <c r="O112" s="134"/>
    </row>
    <row r="113" spans="2:15" x14ac:dyDescent="0.2">
      <c r="B113" s="139" t="s">
        <v>81</v>
      </c>
      <c r="C113" s="7"/>
      <c r="D113" s="7"/>
      <c r="E113" s="7"/>
      <c r="F113" s="7"/>
      <c r="G113" s="7"/>
      <c r="H113" s="7"/>
      <c r="I113" s="130"/>
      <c r="J113" s="131"/>
      <c r="K113" s="133"/>
      <c r="L113" s="133"/>
      <c r="M113" s="133"/>
      <c r="N113" s="133"/>
      <c r="O113" s="134"/>
    </row>
    <row r="114" spans="2:15" x14ac:dyDescent="0.2">
      <c r="B114" s="139" t="s">
        <v>82</v>
      </c>
      <c r="C114" s="7"/>
      <c r="D114" s="7"/>
      <c r="E114" s="7"/>
      <c r="F114" s="7"/>
      <c r="G114" s="7"/>
      <c r="H114" s="7"/>
      <c r="I114" s="130"/>
      <c r="J114" s="131"/>
      <c r="K114" s="133"/>
      <c r="L114" s="133"/>
      <c r="M114" s="133"/>
      <c r="N114" s="133"/>
      <c r="O114" s="134"/>
    </row>
    <row r="115" spans="2:15" x14ac:dyDescent="0.2">
      <c r="B115" s="139" t="s">
        <v>83</v>
      </c>
      <c r="C115" s="7"/>
      <c r="D115" s="7"/>
      <c r="E115" s="7"/>
      <c r="F115" s="7"/>
      <c r="G115" s="7"/>
      <c r="H115" s="7"/>
      <c r="I115" s="130"/>
      <c r="J115" s="131"/>
      <c r="K115" s="133"/>
      <c r="L115" s="133"/>
      <c r="M115" s="133"/>
      <c r="N115" s="133"/>
      <c r="O115" s="134"/>
    </row>
    <row r="116" spans="2:15" x14ac:dyDescent="0.2">
      <c r="B116" s="139" t="s">
        <v>84</v>
      </c>
      <c r="C116" s="7"/>
      <c r="D116" s="7"/>
      <c r="E116" s="7"/>
      <c r="F116" s="7"/>
      <c r="G116" s="7"/>
      <c r="H116" s="7"/>
      <c r="I116" s="130"/>
      <c r="J116" s="131"/>
      <c r="K116" s="133"/>
      <c r="L116" s="133"/>
      <c r="M116" s="133"/>
      <c r="N116" s="133"/>
      <c r="O116" s="134"/>
    </row>
    <row r="117" spans="2:15" x14ac:dyDescent="0.2">
      <c r="B117" s="139" t="s">
        <v>85</v>
      </c>
      <c r="C117" s="7"/>
      <c r="D117" s="7"/>
      <c r="E117" s="7"/>
      <c r="F117" s="7"/>
      <c r="G117" s="7"/>
      <c r="H117" s="7"/>
      <c r="I117" s="130"/>
      <c r="J117" s="131"/>
      <c r="K117" s="133"/>
      <c r="L117" s="133"/>
      <c r="M117" s="133"/>
      <c r="N117" s="133"/>
      <c r="O117" s="134"/>
    </row>
    <row r="118" spans="2:15" x14ac:dyDescent="0.2">
      <c r="B118" s="139" t="s">
        <v>86</v>
      </c>
      <c r="C118" s="7"/>
      <c r="D118" s="7"/>
      <c r="E118" s="7"/>
      <c r="F118" s="7"/>
      <c r="G118" s="7"/>
      <c r="H118" s="7"/>
      <c r="I118" s="130"/>
      <c r="J118" s="131"/>
      <c r="K118" s="133"/>
      <c r="L118" s="133"/>
      <c r="M118" s="133"/>
      <c r="N118" s="133"/>
      <c r="O118" s="134"/>
    </row>
    <row r="119" spans="2:15" x14ac:dyDescent="0.2">
      <c r="B119" s="139" t="s">
        <v>87</v>
      </c>
      <c r="C119" s="7"/>
      <c r="D119" s="7"/>
      <c r="E119" s="7"/>
      <c r="F119" s="7"/>
      <c r="G119" s="7"/>
      <c r="H119" s="7"/>
      <c r="I119" s="130"/>
      <c r="J119" s="131"/>
      <c r="K119" s="133"/>
      <c r="L119" s="133"/>
      <c r="M119" s="133"/>
      <c r="N119" s="133"/>
      <c r="O119" s="134"/>
    </row>
    <row r="120" spans="2:15" x14ac:dyDescent="0.2">
      <c r="B120" s="139" t="s">
        <v>88</v>
      </c>
      <c r="C120" s="7"/>
      <c r="D120" s="7"/>
      <c r="E120" s="7"/>
      <c r="F120" s="7"/>
      <c r="G120" s="7"/>
      <c r="H120" s="7"/>
      <c r="I120" s="130"/>
      <c r="J120" s="131"/>
      <c r="K120" s="133"/>
      <c r="L120" s="133"/>
      <c r="M120" s="133"/>
      <c r="N120" s="133"/>
      <c r="O120" s="134"/>
    </row>
    <row r="121" spans="2:15" x14ac:dyDescent="0.2">
      <c r="B121" s="21" t="s">
        <v>89</v>
      </c>
      <c r="C121" s="7"/>
      <c r="D121" s="7"/>
      <c r="E121" s="7"/>
      <c r="F121" s="7"/>
      <c r="G121" s="7"/>
      <c r="H121" s="7"/>
      <c r="I121" s="140"/>
      <c r="J121" s="140"/>
      <c r="K121" s="141"/>
      <c r="L121" s="140"/>
      <c r="M121" s="140"/>
      <c r="N121" s="140"/>
      <c r="O121" s="142"/>
    </row>
    <row r="122" spans="2:15" x14ac:dyDescent="0.2">
      <c r="B122" s="139"/>
      <c r="C122" s="7"/>
      <c r="D122" s="7"/>
      <c r="E122" s="7"/>
      <c r="F122" s="7"/>
      <c r="G122" s="7"/>
      <c r="H122" s="7"/>
      <c r="I122" s="143"/>
      <c r="J122" s="144"/>
      <c r="K122" s="140"/>
      <c r="L122" s="140"/>
      <c r="M122" s="140"/>
      <c r="N122" s="140"/>
      <c r="O122" s="142"/>
    </row>
    <row r="123" spans="2:15" x14ac:dyDescent="0.2">
      <c r="B123" s="139" t="s">
        <v>90</v>
      </c>
      <c r="C123" s="7"/>
      <c r="D123" s="7"/>
      <c r="E123" s="7"/>
      <c r="F123" s="7"/>
      <c r="G123" s="7"/>
      <c r="H123" s="7"/>
      <c r="I123" s="31"/>
      <c r="J123" s="20"/>
      <c r="K123" s="140"/>
      <c r="L123" s="140"/>
      <c r="M123" s="140"/>
      <c r="N123" s="140"/>
      <c r="O123" s="142"/>
    </row>
    <row r="124" spans="2:15" x14ac:dyDescent="0.2">
      <c r="B124" s="139"/>
      <c r="C124" s="7"/>
      <c r="D124" s="7"/>
      <c r="E124" s="7"/>
      <c r="F124" s="7"/>
      <c r="G124" s="7"/>
      <c r="H124" s="7"/>
      <c r="I124" s="143"/>
      <c r="J124" s="144"/>
      <c r="K124" s="143"/>
      <c r="L124" s="143"/>
      <c r="M124" s="143"/>
      <c r="N124" s="143"/>
      <c r="O124" s="144"/>
    </row>
    <row r="125" spans="2:15" x14ac:dyDescent="0.2">
      <c r="B125" s="145" t="s">
        <v>91</v>
      </c>
      <c r="C125" s="146"/>
      <c r="D125" s="107"/>
      <c r="E125" s="107"/>
      <c r="F125" s="107"/>
      <c r="G125" s="107"/>
      <c r="H125" s="107"/>
      <c r="I125" s="147"/>
      <c r="J125" s="148"/>
      <c r="K125" s="147"/>
      <c r="L125" s="147"/>
      <c r="M125" s="147"/>
      <c r="N125" s="147"/>
      <c r="O125" s="148"/>
    </row>
    <row r="126" spans="2:15" x14ac:dyDescent="0.2">
      <c r="B126" s="139"/>
      <c r="C126" s="7"/>
      <c r="D126" s="7"/>
      <c r="E126" s="7"/>
      <c r="F126" s="7"/>
      <c r="G126" s="7"/>
      <c r="H126" s="7"/>
      <c r="I126" s="130"/>
      <c r="J126" s="131"/>
      <c r="K126" s="135"/>
      <c r="L126" s="135"/>
      <c r="M126" s="135"/>
      <c r="N126" s="135"/>
      <c r="O126" s="136"/>
    </row>
    <row r="127" spans="2:15" x14ac:dyDescent="0.2">
      <c r="B127" s="6"/>
      <c r="C127" s="7"/>
      <c r="D127" s="7"/>
      <c r="E127" s="7"/>
      <c r="F127" s="7"/>
      <c r="G127" s="7"/>
      <c r="H127" s="7"/>
      <c r="I127" s="7"/>
      <c r="J127" s="25"/>
      <c r="K127" s="149"/>
      <c r="L127" s="7"/>
      <c r="M127" s="7"/>
      <c r="N127" s="7"/>
      <c r="O127" s="25"/>
    </row>
    <row r="128" spans="2:15" x14ac:dyDescent="0.2">
      <c r="B128" s="16" t="s">
        <v>92</v>
      </c>
      <c r="C128" s="7"/>
      <c r="D128" s="7"/>
      <c r="E128" s="7"/>
      <c r="F128" s="7"/>
      <c r="G128" s="7"/>
      <c r="H128" s="7"/>
      <c r="I128" s="7"/>
      <c r="J128" s="25"/>
      <c r="K128" s="7"/>
      <c r="L128" s="7"/>
      <c r="M128" s="7"/>
      <c r="N128" s="7"/>
      <c r="O128" s="25"/>
    </row>
    <row r="129" spans="2:15" x14ac:dyDescent="0.2">
      <c r="B129" s="16"/>
      <c r="C129" s="7"/>
      <c r="D129" s="7"/>
      <c r="E129" s="7"/>
      <c r="F129" s="7"/>
      <c r="G129" s="7"/>
      <c r="H129" s="7"/>
      <c r="I129" s="7"/>
      <c r="J129" s="25"/>
      <c r="K129" s="7"/>
      <c r="L129" s="7"/>
      <c r="M129" s="7"/>
      <c r="N129" s="7"/>
      <c r="O129" s="25"/>
    </row>
    <row r="130" spans="2:15" x14ac:dyDescent="0.2">
      <c r="B130" s="139" t="s">
        <v>93</v>
      </c>
      <c r="C130" s="7"/>
      <c r="D130" s="7"/>
      <c r="E130" s="7"/>
      <c r="F130" s="7"/>
      <c r="G130" s="7"/>
      <c r="H130" s="7"/>
      <c r="I130" s="130"/>
      <c r="J130" s="131"/>
      <c r="K130" s="7"/>
      <c r="L130" s="7"/>
      <c r="M130" s="7"/>
      <c r="N130" s="7"/>
      <c r="O130" s="25"/>
    </row>
    <row r="131" spans="2:15" x14ac:dyDescent="0.2">
      <c r="B131" s="139" t="s">
        <v>94</v>
      </c>
      <c r="C131" s="7"/>
      <c r="D131" s="7"/>
      <c r="E131" s="7"/>
      <c r="F131" s="7"/>
      <c r="G131" s="7"/>
      <c r="H131" s="7"/>
      <c r="I131" s="130"/>
      <c r="J131" s="131"/>
      <c r="K131" s="7"/>
      <c r="L131" s="7"/>
      <c r="M131" s="7"/>
      <c r="N131" s="7"/>
      <c r="O131" s="25"/>
    </row>
    <row r="132" spans="2:15" x14ac:dyDescent="0.2">
      <c r="B132" s="139" t="s">
        <v>95</v>
      </c>
      <c r="C132" s="7"/>
      <c r="D132" s="7"/>
      <c r="E132" s="7"/>
      <c r="F132" s="7"/>
      <c r="G132" s="7"/>
      <c r="H132" s="7"/>
      <c r="I132" s="31"/>
      <c r="J132" s="131"/>
      <c r="K132" s="7"/>
      <c r="L132" s="7"/>
      <c r="M132" s="7"/>
      <c r="N132" s="7"/>
      <c r="O132" s="25"/>
    </row>
    <row r="133" spans="2:15" x14ac:dyDescent="0.2">
      <c r="B133" s="139" t="s">
        <v>96</v>
      </c>
      <c r="C133" s="7"/>
      <c r="D133" s="7"/>
      <c r="E133" s="7"/>
      <c r="F133" s="7"/>
      <c r="G133" s="7"/>
      <c r="H133" s="7"/>
      <c r="I133" s="130"/>
      <c r="J133" s="131"/>
      <c r="K133" s="150"/>
      <c r="L133" s="150"/>
      <c r="M133" s="150"/>
      <c r="N133" s="150"/>
      <c r="O133" s="151"/>
    </row>
    <row r="134" spans="2:15" x14ac:dyDescent="0.2">
      <c r="B134" s="139" t="s">
        <v>97</v>
      </c>
      <c r="C134" s="7"/>
      <c r="D134" s="7"/>
      <c r="E134" s="7"/>
      <c r="F134" s="7"/>
      <c r="G134" s="7"/>
      <c r="H134" s="7"/>
      <c r="I134" s="130"/>
      <c r="J134" s="131"/>
      <c r="K134" s="7"/>
      <c r="L134" s="7"/>
      <c r="M134" s="7"/>
      <c r="N134" s="7"/>
      <c r="O134" s="25"/>
    </row>
    <row r="135" spans="2:15" x14ac:dyDescent="0.2">
      <c r="B135" s="139" t="s">
        <v>98</v>
      </c>
      <c r="C135" s="7"/>
      <c r="D135" s="7"/>
      <c r="E135" s="7"/>
      <c r="F135" s="7"/>
      <c r="G135" s="7"/>
      <c r="H135" s="7"/>
      <c r="I135" s="130"/>
      <c r="J135" s="131"/>
      <c r="K135" s="7"/>
      <c r="L135" s="7"/>
      <c r="M135" s="7"/>
      <c r="N135" s="7"/>
      <c r="O135" s="25"/>
    </row>
    <row r="136" spans="2:15" x14ac:dyDescent="0.2">
      <c r="B136" s="139" t="s">
        <v>99</v>
      </c>
      <c r="C136" s="7"/>
      <c r="D136" s="7"/>
      <c r="E136" s="7"/>
      <c r="F136" s="7"/>
      <c r="G136" s="7"/>
      <c r="H136" s="7"/>
      <c r="I136" s="130"/>
      <c r="J136" s="131"/>
      <c r="K136" s="133"/>
      <c r="L136" s="133"/>
      <c r="M136" s="133"/>
      <c r="N136" s="133"/>
      <c r="O136" s="134"/>
    </row>
    <row r="137" spans="2:15" x14ac:dyDescent="0.2">
      <c r="B137" s="139" t="s">
        <v>100</v>
      </c>
      <c r="C137" s="7"/>
      <c r="D137" s="7"/>
      <c r="E137" s="7"/>
      <c r="F137" s="7"/>
      <c r="G137" s="7"/>
      <c r="H137" s="7"/>
      <c r="I137" s="31"/>
      <c r="J137" s="131"/>
      <c r="K137" s="7"/>
      <c r="L137" s="7"/>
      <c r="M137" s="7"/>
      <c r="N137" s="7"/>
      <c r="O137" s="25"/>
    </row>
    <row r="138" spans="2:15" x14ac:dyDescent="0.2">
      <c r="B138" s="6"/>
      <c r="C138" s="7"/>
      <c r="D138" s="7"/>
      <c r="E138" s="7"/>
      <c r="F138" s="7"/>
      <c r="G138" s="7"/>
      <c r="H138" s="7"/>
      <c r="I138" s="130"/>
      <c r="J138" s="152"/>
      <c r="K138" s="7"/>
      <c r="L138" s="7"/>
      <c r="M138" s="7"/>
      <c r="N138" s="7"/>
      <c r="O138" s="25"/>
    </row>
    <row r="139" spans="2:15" s="155" customFormat="1" x14ac:dyDescent="0.2">
      <c r="B139" s="153" t="s">
        <v>101</v>
      </c>
      <c r="C139" s="154"/>
      <c r="D139" s="154"/>
      <c r="E139" s="154"/>
      <c r="F139" s="154"/>
      <c r="G139" s="154"/>
      <c r="H139" s="154"/>
      <c r="I139" s="147"/>
      <c r="J139" s="148"/>
      <c r="K139" s="148"/>
      <c r="L139" s="148"/>
      <c r="M139" s="148"/>
      <c r="N139" s="148"/>
      <c r="O139" s="148"/>
    </row>
    <row r="140" spans="2:15" x14ac:dyDescent="0.2">
      <c r="B140" s="16"/>
      <c r="C140" s="7"/>
      <c r="D140" s="7"/>
      <c r="E140" s="7"/>
      <c r="F140" s="7"/>
      <c r="G140" s="7"/>
      <c r="H140" s="7"/>
      <c r="I140" s="7"/>
      <c r="J140" s="156"/>
      <c r="K140" s="7"/>
      <c r="L140" s="7"/>
      <c r="M140" s="7"/>
      <c r="N140" s="7"/>
      <c r="O140" s="25"/>
    </row>
    <row r="141" spans="2:15" x14ac:dyDescent="0.2">
      <c r="B141" s="6"/>
      <c r="C141" s="7"/>
      <c r="D141" s="7"/>
      <c r="E141" s="7"/>
      <c r="F141" s="7"/>
      <c r="G141" s="7"/>
      <c r="H141" s="7"/>
      <c r="I141" s="7"/>
      <c r="J141" s="25"/>
      <c r="K141" s="7"/>
      <c r="L141" s="7"/>
      <c r="M141" s="7"/>
      <c r="N141" s="7"/>
      <c r="O141" s="25"/>
    </row>
    <row r="142" spans="2:15" x14ac:dyDescent="0.2">
      <c r="B142" s="16" t="s">
        <v>102</v>
      </c>
      <c r="C142" s="7"/>
      <c r="D142" s="7"/>
      <c r="E142" s="7"/>
      <c r="F142" s="7"/>
      <c r="G142" s="7"/>
      <c r="H142" s="7"/>
      <c r="I142" s="7"/>
      <c r="J142" s="100"/>
      <c r="K142" s="7"/>
      <c r="L142" s="7"/>
      <c r="M142" s="7"/>
      <c r="N142" s="7"/>
      <c r="O142" s="25"/>
    </row>
    <row r="143" spans="2:15" x14ac:dyDescent="0.2">
      <c r="B143" s="16"/>
      <c r="C143" s="7"/>
      <c r="D143" s="7"/>
      <c r="E143" s="7"/>
      <c r="F143" s="7"/>
      <c r="G143" s="7"/>
      <c r="H143" s="7"/>
      <c r="I143" s="7"/>
      <c r="J143" s="100"/>
      <c r="K143" s="7"/>
      <c r="L143" s="7"/>
      <c r="M143" s="7"/>
      <c r="N143" s="7"/>
      <c r="O143" s="25"/>
    </row>
    <row r="144" spans="2:15" x14ac:dyDescent="0.2">
      <c r="B144" s="26" t="s">
        <v>103</v>
      </c>
      <c r="C144" s="7"/>
      <c r="D144" s="7"/>
      <c r="E144" s="7"/>
      <c r="F144" s="7"/>
      <c r="G144" s="7"/>
      <c r="H144" s="7"/>
      <c r="I144" s="31"/>
      <c r="J144" s="131"/>
      <c r="K144" s="157"/>
      <c r="L144" s="157"/>
      <c r="M144" s="157"/>
      <c r="N144" s="157"/>
      <c r="O144" s="158"/>
    </row>
    <row r="145" spans="2:17" x14ac:dyDescent="0.2">
      <c r="B145" s="26" t="s">
        <v>104</v>
      </c>
      <c r="C145" s="7"/>
      <c r="D145" s="7"/>
      <c r="E145" s="7"/>
      <c r="F145" s="7"/>
      <c r="G145" s="7"/>
      <c r="H145" s="7"/>
      <c r="I145" s="31"/>
      <c r="J145" s="131"/>
      <c r="K145" s="157"/>
      <c r="L145" s="157"/>
      <c r="M145" s="157"/>
      <c r="N145" s="157"/>
      <c r="O145" s="158"/>
    </row>
    <row r="146" spans="2:17" x14ac:dyDescent="0.2">
      <c r="B146" s="26" t="s">
        <v>105</v>
      </c>
      <c r="C146" s="7"/>
      <c r="D146" s="7"/>
      <c r="E146" s="7"/>
      <c r="F146" s="7"/>
      <c r="G146" s="7"/>
      <c r="H146" s="7"/>
      <c r="I146" s="159"/>
      <c r="J146" s="131"/>
      <c r="K146" s="157"/>
      <c r="L146" s="157"/>
      <c r="M146" s="157"/>
      <c r="N146" s="157"/>
      <c r="O146" s="158"/>
    </row>
    <row r="147" spans="2:17" ht="16" x14ac:dyDescent="0.2">
      <c r="B147" s="26" t="s">
        <v>106</v>
      </c>
      <c r="C147" s="7"/>
      <c r="D147" s="7"/>
      <c r="E147" s="7"/>
      <c r="F147" s="7"/>
      <c r="G147" s="7"/>
      <c r="H147" s="7"/>
      <c r="I147" s="159"/>
      <c r="J147" s="131"/>
      <c r="K147" s="160"/>
      <c r="L147" s="160"/>
      <c r="M147" s="160"/>
      <c r="N147" s="160"/>
      <c r="O147" s="161"/>
      <c r="Q147" s="35"/>
    </row>
    <row r="148" spans="2:17" ht="16" x14ac:dyDescent="0.2">
      <c r="B148" s="26" t="s">
        <v>107</v>
      </c>
      <c r="C148" s="7"/>
      <c r="D148" s="7"/>
      <c r="E148" s="7"/>
      <c r="F148" s="7"/>
      <c r="G148" s="7"/>
      <c r="H148" s="7"/>
      <c r="I148" s="159"/>
      <c r="J148" s="131"/>
      <c r="K148" s="162"/>
      <c r="L148" s="162"/>
      <c r="M148" s="162"/>
      <c r="N148" s="162"/>
      <c r="O148" s="163"/>
      <c r="Q148" s="35"/>
    </row>
    <row r="149" spans="2:17" x14ac:dyDescent="0.2">
      <c r="B149" s="26" t="s">
        <v>108</v>
      </c>
      <c r="C149" s="7"/>
      <c r="D149" s="7"/>
      <c r="E149" s="7"/>
      <c r="F149" s="7"/>
      <c r="G149" s="7"/>
      <c r="H149" s="7"/>
      <c r="I149" s="31"/>
      <c r="J149" s="131"/>
      <c r="K149" s="162"/>
      <c r="L149" s="162"/>
      <c r="M149" s="162"/>
      <c r="N149" s="162"/>
      <c r="O149" s="163"/>
    </row>
    <row r="150" spans="2:17" x14ac:dyDescent="0.2">
      <c r="B150" s="26"/>
      <c r="C150" s="7"/>
      <c r="D150" s="7"/>
      <c r="E150" s="7"/>
      <c r="F150" s="7"/>
      <c r="G150" s="7"/>
      <c r="H150" s="7"/>
      <c r="I150" s="159"/>
      <c r="J150" s="131"/>
      <c r="K150" s="7"/>
      <c r="L150" s="7"/>
      <c r="M150" s="7"/>
      <c r="N150" s="7"/>
      <c r="O150" s="164"/>
    </row>
    <row r="151" spans="2:17" x14ac:dyDescent="0.2">
      <c r="B151" s="26" t="s">
        <v>109</v>
      </c>
      <c r="C151" s="7"/>
      <c r="D151" s="7"/>
      <c r="E151" s="7"/>
      <c r="F151" s="7"/>
      <c r="G151" s="7"/>
      <c r="H151" s="7"/>
      <c r="I151" s="159"/>
      <c r="J151" s="131"/>
      <c r="K151" s="157"/>
      <c r="L151" s="157"/>
      <c r="M151" s="157"/>
      <c r="N151" s="157"/>
      <c r="O151" s="158"/>
    </row>
    <row r="152" spans="2:17" x14ac:dyDescent="0.2">
      <c r="B152" s="26" t="s">
        <v>110</v>
      </c>
      <c r="C152" s="7"/>
      <c r="D152" s="7"/>
      <c r="E152" s="7"/>
      <c r="F152" s="7"/>
      <c r="G152" s="7"/>
      <c r="H152" s="7"/>
      <c r="I152" s="159"/>
      <c r="J152" s="131"/>
      <c r="K152" s="165"/>
      <c r="L152" s="165"/>
      <c r="M152" s="165"/>
      <c r="N152" s="165"/>
      <c r="O152" s="166"/>
    </row>
    <row r="153" spans="2:17" x14ac:dyDescent="0.2">
      <c r="B153" s="26" t="s">
        <v>111</v>
      </c>
      <c r="C153" s="7"/>
      <c r="D153" s="7"/>
      <c r="E153" s="7"/>
      <c r="F153" s="7"/>
      <c r="G153" s="7"/>
      <c r="H153" s="7"/>
      <c r="I153" s="159"/>
      <c r="J153" s="131"/>
      <c r="K153" s="165"/>
      <c r="L153" s="165"/>
      <c r="M153" s="165"/>
      <c r="N153" s="165"/>
      <c r="O153" s="166"/>
    </row>
    <row r="154" spans="2:17" x14ac:dyDescent="0.2">
      <c r="B154" s="26" t="s">
        <v>112</v>
      </c>
      <c r="C154" s="7"/>
      <c r="D154" s="7"/>
      <c r="E154" s="7"/>
      <c r="F154" s="7"/>
      <c r="G154" s="7"/>
      <c r="H154" s="7"/>
      <c r="I154" s="159"/>
      <c r="J154" s="131"/>
      <c r="K154" s="165"/>
      <c r="L154" s="165"/>
      <c r="M154" s="165"/>
      <c r="N154" s="165"/>
      <c r="O154" s="166"/>
    </row>
    <row r="155" spans="2:17" x14ac:dyDescent="0.2">
      <c r="B155" s="26" t="s">
        <v>113</v>
      </c>
      <c r="C155" s="7"/>
      <c r="D155" s="7"/>
      <c r="E155" s="7"/>
      <c r="F155" s="7"/>
      <c r="G155" s="7"/>
      <c r="H155" s="7"/>
      <c r="I155" s="31"/>
      <c r="J155" s="131"/>
      <c r="K155" s="133"/>
      <c r="L155" s="7"/>
      <c r="M155" s="7"/>
      <c r="N155" s="7"/>
      <c r="O155" s="164"/>
    </row>
    <row r="156" spans="2:17" x14ac:dyDescent="0.2">
      <c r="B156" s="26" t="s">
        <v>114</v>
      </c>
      <c r="C156" s="7"/>
      <c r="D156" s="7"/>
      <c r="E156" s="7"/>
      <c r="F156" s="7"/>
      <c r="G156" s="7"/>
      <c r="H156" s="7"/>
      <c r="I156" s="130"/>
      <c r="J156" s="131"/>
      <c r="K156" s="165"/>
      <c r="L156" s="165"/>
      <c r="M156" s="165"/>
      <c r="N156" s="165"/>
      <c r="O156" s="167"/>
    </row>
    <row r="157" spans="2:17" x14ac:dyDescent="0.2">
      <c r="B157" s="16"/>
      <c r="C157" s="7"/>
      <c r="D157" s="7"/>
      <c r="E157" s="7"/>
      <c r="F157" s="7"/>
      <c r="G157" s="7"/>
      <c r="H157" s="7"/>
      <c r="I157" s="7"/>
      <c r="J157" s="100"/>
      <c r="K157" s="7"/>
      <c r="L157" s="7"/>
      <c r="M157" s="7"/>
      <c r="N157" s="7"/>
      <c r="O157" s="25"/>
    </row>
    <row r="158" spans="2:17" x14ac:dyDescent="0.2">
      <c r="B158" s="120" t="s">
        <v>115</v>
      </c>
      <c r="C158" s="107"/>
      <c r="D158" s="107"/>
      <c r="E158" s="107"/>
      <c r="F158" s="107"/>
      <c r="G158" s="107"/>
      <c r="H158" s="107"/>
      <c r="I158" s="111"/>
      <c r="J158" s="112"/>
      <c r="K158" s="168"/>
      <c r="L158" s="169"/>
      <c r="M158" s="169"/>
      <c r="N158" s="169"/>
      <c r="O158" s="170"/>
    </row>
    <row r="159" spans="2:17" x14ac:dyDescent="0.2">
      <c r="B159" s="16"/>
      <c r="C159" s="7"/>
      <c r="D159" s="7"/>
      <c r="E159" s="7"/>
      <c r="F159" s="7"/>
      <c r="G159" s="7"/>
      <c r="H159" s="7"/>
      <c r="I159" s="132"/>
      <c r="J159" s="18"/>
      <c r="K159" s="171"/>
      <c r="L159" s="143"/>
      <c r="M159" s="143"/>
      <c r="N159" s="143"/>
      <c r="O159" s="144"/>
    </row>
    <row r="160" spans="2:17" x14ac:dyDescent="0.2">
      <c r="B160" s="16" t="s">
        <v>116</v>
      </c>
      <c r="C160" s="7"/>
      <c r="D160" s="7"/>
      <c r="E160" s="7"/>
      <c r="F160" s="7"/>
      <c r="G160" s="7"/>
      <c r="H160" s="7"/>
      <c r="I160" s="23"/>
      <c r="J160" s="142"/>
      <c r="K160" s="24"/>
      <c r="L160" s="132"/>
      <c r="M160" s="132"/>
      <c r="N160" s="132"/>
      <c r="O160" s="18"/>
    </row>
    <row r="161" spans="2:15" x14ac:dyDescent="0.2">
      <c r="B161" s="26" t="s">
        <v>117</v>
      </c>
      <c r="C161" s="7"/>
      <c r="D161" s="7"/>
      <c r="E161" s="7"/>
      <c r="F161" s="7"/>
      <c r="G161" s="7"/>
      <c r="H161" s="7"/>
      <c r="I161" s="172"/>
      <c r="J161" s="20"/>
      <c r="K161" s="95"/>
      <c r="L161" s="95"/>
      <c r="M161" s="95"/>
      <c r="N161" s="95"/>
      <c r="O161" s="34"/>
    </row>
    <row r="162" spans="2:15" x14ac:dyDescent="0.2">
      <c r="B162" s="173" t="s">
        <v>118</v>
      </c>
      <c r="C162" s="174"/>
      <c r="D162" s="174"/>
      <c r="E162" s="174"/>
      <c r="F162" s="174"/>
      <c r="G162" s="174"/>
      <c r="H162" s="174"/>
      <c r="I162" s="175"/>
      <c r="J162" s="176"/>
      <c r="K162" s="177"/>
      <c r="L162" s="178"/>
      <c r="M162" s="178"/>
      <c r="N162" s="178"/>
      <c r="O162" s="179"/>
    </row>
  </sheetData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C262-D357-F945-BD72-DD882EAE7EB2}">
  <dimension ref="B1:O46"/>
  <sheetViews>
    <sheetView topLeftCell="A4" workbookViewId="0">
      <selection activeCell="M28" sqref="M28"/>
    </sheetView>
  </sheetViews>
  <sheetFormatPr baseColWidth="10" defaultColWidth="9.1640625" defaultRowHeight="13" x14ac:dyDescent="0.15"/>
  <cols>
    <col min="1" max="1" width="5.6640625" style="185" customWidth="1"/>
    <col min="2" max="2" width="9.1640625" style="185"/>
    <col min="3" max="3" width="9.33203125" style="185" bestFit="1" customWidth="1"/>
    <col min="4" max="10" width="10.33203125" style="185" bestFit="1" customWidth="1"/>
    <col min="11" max="14" width="9.1640625" style="185"/>
    <col min="15" max="15" width="21" style="185" customWidth="1"/>
    <col min="16" max="16384" width="9.1640625" style="185"/>
  </cols>
  <sheetData>
    <row r="1" spans="2:15" s="180" customFormat="1" x14ac:dyDescent="0.15"/>
    <row r="2" spans="2:15" s="180" customFormat="1" ht="15" x14ac:dyDescent="0.2">
      <c r="B2" s="98" t="str">
        <f>"Discounted Cash Flow Analysis - "&amp;TEXT(Company_Name,"")</f>
        <v>Discounted Cash Flow Analysis - Avenue Supermarts Ltd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</row>
    <row r="3" spans="2:15" s="180" customFormat="1" ht="15" x14ac:dyDescent="0.2">
      <c r="B3" s="181" t="s">
        <v>119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</row>
    <row r="5" spans="2:15" x14ac:dyDescent="0.15">
      <c r="B5" s="182" t="str">
        <f>TEXT(Company_Name,"")&amp; " - DCF Cash Flow Projections"</f>
        <v>Avenue Supermarts Ltd - DCF Cash Flow Projections</v>
      </c>
      <c r="C5" s="183"/>
      <c r="D5" s="183"/>
      <c r="E5" s="183"/>
      <c r="F5" s="183"/>
      <c r="G5" s="183"/>
      <c r="H5" s="183"/>
      <c r="I5" s="183"/>
      <c r="J5" s="184"/>
      <c r="K5" s="180"/>
      <c r="L5" s="182" t="str">
        <f>TEXT(Company_Name,"")&amp; " - DCF Assumptions &amp; Output"</f>
        <v>Avenue Supermarts Ltd - DCF Assumptions &amp; Output</v>
      </c>
      <c r="M5" s="183"/>
      <c r="N5" s="183"/>
      <c r="O5" s="184"/>
    </row>
    <row r="6" spans="2:15" x14ac:dyDescent="0.15">
      <c r="B6" s="186"/>
      <c r="C6" s="187"/>
      <c r="D6" s="187"/>
      <c r="E6" s="187"/>
      <c r="F6" s="188" t="str">
        <f>'[1]Operating Model'!K4</f>
        <v>FY 2021E</v>
      </c>
      <c r="G6" s="188" t="str">
        <f>'[1]Operating Model'!L4</f>
        <v>FY 2022E</v>
      </c>
      <c r="H6" s="188" t="str">
        <f>'[1]Operating Model'!M4</f>
        <v>FY 2023E</v>
      </c>
      <c r="I6" s="188" t="str">
        <f>'[1]Operating Model'!N4</f>
        <v>FY 2024E</v>
      </c>
      <c r="J6" s="189" t="str">
        <f>'[1]Operating Model'!O4</f>
        <v>FY 2025E</v>
      </c>
      <c r="K6" s="180"/>
      <c r="L6" s="186"/>
      <c r="M6" s="187"/>
      <c r="N6" s="187"/>
      <c r="O6" s="190"/>
    </row>
    <row r="7" spans="2:15" x14ac:dyDescent="0.15">
      <c r="B7" s="191"/>
      <c r="C7" s="192"/>
      <c r="D7" s="192"/>
      <c r="E7" s="192"/>
      <c r="F7" s="192"/>
      <c r="G7" s="193"/>
      <c r="H7" s="193"/>
      <c r="I7" s="193"/>
      <c r="J7" s="194"/>
      <c r="K7" s="180"/>
      <c r="L7" s="191"/>
      <c r="M7" s="192"/>
      <c r="N7" s="192"/>
      <c r="O7" s="195"/>
    </row>
    <row r="8" spans="2:15" x14ac:dyDescent="0.15">
      <c r="B8" s="196" t="s">
        <v>120</v>
      </c>
      <c r="C8" s="192"/>
      <c r="D8" s="192"/>
      <c r="E8" s="192"/>
      <c r="F8" s="197"/>
      <c r="G8" s="197"/>
      <c r="H8" s="197"/>
      <c r="I8" s="197"/>
      <c r="J8" s="198"/>
      <c r="K8" s="180"/>
      <c r="L8" s="191" t="s">
        <v>121</v>
      </c>
      <c r="M8" s="192"/>
      <c r="N8" s="192"/>
      <c r="O8" s="199"/>
    </row>
    <row r="9" spans="2:15" x14ac:dyDescent="0.15">
      <c r="B9" s="196" t="s">
        <v>21</v>
      </c>
      <c r="C9" s="192"/>
      <c r="D9" s="192"/>
      <c r="E9" s="192"/>
      <c r="F9" s="200"/>
      <c r="G9" s="200"/>
      <c r="H9" s="200"/>
      <c r="I9" s="200"/>
      <c r="J9" s="201"/>
      <c r="K9" s="180"/>
      <c r="L9" s="191" t="s">
        <v>122</v>
      </c>
      <c r="M9" s="192"/>
      <c r="N9" s="192"/>
      <c r="O9" s="202"/>
    </row>
    <row r="10" spans="2:15" x14ac:dyDescent="0.15">
      <c r="B10" s="196" t="s">
        <v>10</v>
      </c>
      <c r="C10" s="192"/>
      <c r="D10" s="192"/>
      <c r="E10" s="192"/>
      <c r="F10" s="200"/>
      <c r="G10" s="200"/>
      <c r="H10" s="200"/>
      <c r="I10" s="200"/>
      <c r="J10" s="201"/>
      <c r="K10" s="180"/>
      <c r="L10" s="191"/>
      <c r="M10" s="192"/>
      <c r="N10" s="192"/>
      <c r="O10" s="203"/>
    </row>
    <row r="11" spans="2:15" x14ac:dyDescent="0.15">
      <c r="B11" s="196"/>
      <c r="C11" s="192"/>
      <c r="D11" s="192"/>
      <c r="E11" s="192"/>
      <c r="F11" s="204"/>
      <c r="G11" s="204"/>
      <c r="H11" s="204"/>
      <c r="I11" s="204"/>
      <c r="J11" s="205"/>
      <c r="K11" s="180"/>
      <c r="L11" s="191" t="s">
        <v>123</v>
      </c>
      <c r="M11" s="192"/>
      <c r="N11" s="206"/>
      <c r="O11" s="207"/>
    </row>
    <row r="12" spans="2:15" x14ac:dyDescent="0.15">
      <c r="B12" s="196" t="s">
        <v>124</v>
      </c>
      <c r="C12" s="192"/>
      <c r="D12" s="192"/>
      <c r="E12" s="192"/>
      <c r="F12" s="204"/>
      <c r="G12" s="204"/>
      <c r="H12" s="204"/>
      <c r="I12" s="204"/>
      <c r="J12" s="205"/>
      <c r="K12" s="180"/>
      <c r="L12" s="191" t="s">
        <v>125</v>
      </c>
      <c r="M12" s="192"/>
      <c r="N12" s="206"/>
      <c r="O12" s="208"/>
    </row>
    <row r="13" spans="2:15" x14ac:dyDescent="0.15">
      <c r="B13" s="196"/>
      <c r="C13" s="192"/>
      <c r="D13" s="192"/>
      <c r="E13" s="192"/>
      <c r="F13" s="204"/>
      <c r="G13" s="204"/>
      <c r="H13" s="204"/>
      <c r="I13" s="204"/>
      <c r="J13" s="205"/>
      <c r="K13" s="180"/>
      <c r="L13" s="191" t="s">
        <v>126</v>
      </c>
      <c r="M13" s="192"/>
      <c r="N13" s="192"/>
      <c r="O13" s="201"/>
    </row>
    <row r="14" spans="2:15" x14ac:dyDescent="0.15">
      <c r="B14" s="196" t="s">
        <v>127</v>
      </c>
      <c r="C14" s="192"/>
      <c r="D14" s="192"/>
      <c r="E14" s="192"/>
      <c r="F14" s="200"/>
      <c r="G14" s="200"/>
      <c r="H14" s="200"/>
      <c r="I14" s="200"/>
      <c r="J14" s="201"/>
      <c r="K14" s="180"/>
      <c r="L14" s="191"/>
      <c r="M14" s="192"/>
      <c r="N14" s="192"/>
      <c r="O14" s="203"/>
    </row>
    <row r="15" spans="2:15" x14ac:dyDescent="0.15">
      <c r="B15" s="196"/>
      <c r="C15" s="192"/>
      <c r="D15" s="192"/>
      <c r="E15" s="192"/>
      <c r="F15" s="209"/>
      <c r="G15" s="209"/>
      <c r="H15" s="209"/>
      <c r="I15" s="209"/>
      <c r="J15" s="210"/>
      <c r="K15" s="180"/>
      <c r="L15" s="191" t="s">
        <v>128</v>
      </c>
      <c r="M15" s="192"/>
      <c r="N15" s="192"/>
      <c r="O15" s="201"/>
    </row>
    <row r="16" spans="2:15" x14ac:dyDescent="0.15">
      <c r="B16" s="196" t="s">
        <v>129</v>
      </c>
      <c r="C16" s="192"/>
      <c r="D16" s="192"/>
      <c r="E16" s="192"/>
      <c r="F16" s="204"/>
      <c r="G16" s="204"/>
      <c r="H16" s="204"/>
      <c r="I16" s="204"/>
      <c r="J16" s="205"/>
      <c r="K16" s="180"/>
      <c r="L16" s="191" t="s">
        <v>130</v>
      </c>
      <c r="M16" s="192"/>
      <c r="N16" s="192"/>
      <c r="O16" s="201"/>
    </row>
    <row r="17" spans="2:15" x14ac:dyDescent="0.15">
      <c r="B17" s="196" t="s">
        <v>131</v>
      </c>
      <c r="C17" s="192"/>
      <c r="D17" s="192"/>
      <c r="E17" s="192"/>
      <c r="F17" s="200"/>
      <c r="G17" s="200"/>
      <c r="H17" s="200"/>
      <c r="I17" s="200"/>
      <c r="J17" s="201"/>
      <c r="K17" s="180"/>
      <c r="L17" s="196" t="s">
        <v>132</v>
      </c>
      <c r="M17" s="192"/>
      <c r="N17" s="192"/>
      <c r="O17" s="211"/>
    </row>
    <row r="18" spans="2:15" x14ac:dyDescent="0.15">
      <c r="B18" s="191"/>
      <c r="C18" s="192"/>
      <c r="D18" s="192"/>
      <c r="E18" s="192"/>
      <c r="F18" s="192"/>
      <c r="G18" s="192"/>
      <c r="H18" s="192"/>
      <c r="I18" s="192"/>
      <c r="J18" s="203"/>
      <c r="K18" s="180"/>
      <c r="L18" s="191"/>
      <c r="M18" s="192"/>
      <c r="N18" s="192"/>
      <c r="O18" s="203"/>
    </row>
    <row r="19" spans="2:15" x14ac:dyDescent="0.15">
      <c r="B19" s="212" t="s">
        <v>133</v>
      </c>
      <c r="C19" s="213"/>
      <c r="D19" s="213"/>
      <c r="E19" s="213"/>
      <c r="F19" s="214"/>
      <c r="G19" s="214"/>
      <c r="H19" s="214"/>
      <c r="I19" s="214"/>
      <c r="J19" s="215"/>
      <c r="K19" s="180"/>
      <c r="L19" s="191" t="s">
        <v>134</v>
      </c>
      <c r="M19" s="192"/>
      <c r="N19" s="192"/>
      <c r="O19" s="202"/>
    </row>
    <row r="20" spans="2:15" x14ac:dyDescent="0.15">
      <c r="B20" s="216" t="s">
        <v>135</v>
      </c>
      <c r="C20" s="217"/>
      <c r="D20" s="217"/>
      <c r="E20" s="217"/>
      <c r="F20" s="218"/>
      <c r="G20" s="218"/>
      <c r="H20" s="218"/>
      <c r="I20" s="218"/>
      <c r="J20" s="219"/>
      <c r="K20" s="180"/>
      <c r="L20" s="191"/>
      <c r="M20" s="192"/>
      <c r="N20" s="192"/>
      <c r="O20" s="203"/>
    </row>
    <row r="21" spans="2:15" x14ac:dyDescent="0.15">
      <c r="B21" s="191"/>
      <c r="C21" s="192"/>
      <c r="D21" s="192"/>
      <c r="E21" s="192"/>
      <c r="F21" s="192"/>
      <c r="G21" s="220"/>
      <c r="H21" s="192"/>
      <c r="I21" s="192"/>
      <c r="J21" s="203"/>
      <c r="K21" s="180"/>
      <c r="L21" s="191" t="s">
        <v>132</v>
      </c>
      <c r="M21" s="192"/>
      <c r="N21" s="192"/>
      <c r="O21" s="201"/>
    </row>
    <row r="22" spans="2:15" ht="15" x14ac:dyDescent="0.2">
      <c r="B22" s="221" t="s">
        <v>136</v>
      </c>
      <c r="C22" s="192"/>
      <c r="D22" s="192"/>
      <c r="E22" s="192"/>
      <c r="F22" s="222"/>
      <c r="G22" s="223"/>
      <c r="H22" s="223"/>
      <c r="I22" s="223"/>
      <c r="J22" s="224"/>
      <c r="K22" s="180"/>
      <c r="L22" s="191" t="s">
        <v>137</v>
      </c>
      <c r="M22" s="192"/>
      <c r="N22" s="192"/>
      <c r="O22" s="225"/>
    </row>
    <row r="23" spans="2:15" x14ac:dyDescent="0.15">
      <c r="B23" s="221" t="s">
        <v>138</v>
      </c>
      <c r="C23" s="192"/>
      <c r="D23" s="192"/>
      <c r="E23" s="192"/>
      <c r="F23" s="222"/>
      <c r="G23" s="223"/>
      <c r="H23" s="223"/>
      <c r="I23" s="223"/>
      <c r="J23" s="224"/>
      <c r="K23" s="180"/>
      <c r="L23" s="196" t="s">
        <v>139</v>
      </c>
      <c r="M23" s="192"/>
      <c r="N23" s="192"/>
      <c r="O23" s="211"/>
    </row>
    <row r="24" spans="2:15" x14ac:dyDescent="0.15">
      <c r="B24" s="191"/>
      <c r="C24" s="192"/>
      <c r="D24" s="192"/>
      <c r="E24" s="192"/>
      <c r="F24" s="192"/>
      <c r="G24" s="226"/>
      <c r="H24" s="192"/>
      <c r="I24" s="192"/>
      <c r="J24" s="203"/>
      <c r="K24" s="180"/>
      <c r="L24" s="191"/>
      <c r="M24" s="192"/>
      <c r="N24" s="192"/>
      <c r="O24" s="203"/>
    </row>
    <row r="25" spans="2:15" x14ac:dyDescent="0.15">
      <c r="B25" s="227" t="s">
        <v>140</v>
      </c>
      <c r="C25" s="228"/>
      <c r="D25" s="228"/>
      <c r="E25" s="228"/>
      <c r="F25" s="228"/>
      <c r="G25" s="229"/>
      <c r="H25" s="230"/>
      <c r="I25" s="230"/>
      <c r="J25" s="231"/>
      <c r="K25" s="232"/>
      <c r="L25" s="233" t="s">
        <v>141</v>
      </c>
      <c r="M25" s="228"/>
      <c r="N25" s="228"/>
      <c r="O25" s="234"/>
    </row>
    <row r="26" spans="2:15" x14ac:dyDescent="0.15">
      <c r="K26" s="180"/>
      <c r="L26" s="235"/>
      <c r="M26" s="235"/>
      <c r="N26" s="235"/>
      <c r="O26" s="235"/>
    </row>
    <row r="27" spans="2:15" ht="13.5" customHeight="1" x14ac:dyDescent="0.15">
      <c r="K27" s="180"/>
      <c r="L27" s="236"/>
      <c r="M27" s="180"/>
      <c r="N27" s="180"/>
      <c r="O27" s="237"/>
    </row>
    <row r="28" spans="2:15" x14ac:dyDescent="0.15">
      <c r="B28" s="182" t="str">
        <f>TEXT(Company_Name,"")&amp; " - Net Present Value Sensitivity - Terminal Growth Rates"</f>
        <v>Avenue Supermarts Ltd - Net Present Value Sensitivity - Terminal Growth Rates</v>
      </c>
      <c r="C28" s="183"/>
      <c r="D28" s="183"/>
      <c r="E28" s="183"/>
      <c r="F28" s="183"/>
      <c r="G28" s="183"/>
      <c r="H28" s="183"/>
      <c r="I28" s="183"/>
      <c r="J28" s="184"/>
      <c r="K28" s="180"/>
      <c r="L28" s="180"/>
      <c r="M28" s="180"/>
      <c r="N28" s="180"/>
      <c r="O28" s="238"/>
    </row>
    <row r="29" spans="2:15" x14ac:dyDescent="0.15">
      <c r="B29" s="191"/>
      <c r="C29" s="192"/>
      <c r="D29" s="239" t="s">
        <v>142</v>
      </c>
      <c r="E29" s="239"/>
      <c r="F29" s="239"/>
      <c r="G29" s="239"/>
      <c r="H29" s="239"/>
      <c r="I29" s="239"/>
      <c r="J29" s="240"/>
      <c r="K29" s="180"/>
      <c r="L29" s="180"/>
      <c r="M29" s="180"/>
      <c r="N29" s="180"/>
      <c r="O29" s="180"/>
    </row>
    <row r="30" spans="2:15" x14ac:dyDescent="0.15">
      <c r="B30" s="191"/>
      <c r="C30" s="241">
        <f>O25</f>
        <v>0</v>
      </c>
      <c r="D30" s="242"/>
      <c r="E30" s="243"/>
      <c r="F30" s="243"/>
      <c r="G30" s="244"/>
      <c r="H30" s="243"/>
      <c r="I30" s="243"/>
      <c r="J30" s="245"/>
      <c r="K30" s="180"/>
      <c r="L30" s="180"/>
      <c r="M30" s="246"/>
      <c r="N30" s="247"/>
      <c r="O30" s="246"/>
    </row>
    <row r="31" spans="2:15" x14ac:dyDescent="0.15">
      <c r="B31" s="248" t="s">
        <v>143</v>
      </c>
      <c r="C31" s="249"/>
      <c r="D31" s="250"/>
      <c r="E31" s="251"/>
      <c r="F31" s="251"/>
      <c r="G31" s="252"/>
      <c r="H31" s="251"/>
      <c r="I31" s="251"/>
      <c r="J31" s="253"/>
      <c r="K31" s="180"/>
      <c r="L31" s="180"/>
      <c r="M31" s="246"/>
      <c r="N31" s="246"/>
      <c r="O31" s="246"/>
    </row>
    <row r="32" spans="2:15" x14ac:dyDescent="0.15">
      <c r="B32" s="254"/>
      <c r="C32" s="202"/>
      <c r="D32" s="255"/>
      <c r="E32" s="200"/>
      <c r="F32" s="200"/>
      <c r="G32" s="197"/>
      <c r="H32" s="200"/>
      <c r="I32" s="200"/>
      <c r="J32" s="201"/>
      <c r="K32" s="180"/>
      <c r="L32" s="180"/>
      <c r="M32" s="180"/>
      <c r="N32" s="180"/>
      <c r="O32" s="180"/>
    </row>
    <row r="33" spans="2:15" x14ac:dyDescent="0.15">
      <c r="B33" s="254"/>
      <c r="C33" s="202"/>
      <c r="D33" s="255"/>
      <c r="E33" s="200"/>
      <c r="F33" s="200"/>
      <c r="G33" s="197"/>
      <c r="H33" s="200"/>
      <c r="I33" s="200"/>
      <c r="J33" s="201"/>
      <c r="K33" s="180"/>
      <c r="L33" s="180"/>
      <c r="M33" s="180"/>
      <c r="N33" s="180"/>
      <c r="O33" s="180"/>
    </row>
    <row r="34" spans="2:15" x14ac:dyDescent="0.15">
      <c r="B34" s="254"/>
      <c r="C34" s="256"/>
      <c r="D34" s="257"/>
      <c r="E34" s="197"/>
      <c r="F34" s="197"/>
      <c r="G34" s="197"/>
      <c r="H34" s="197"/>
      <c r="I34" s="197"/>
      <c r="J34" s="198"/>
      <c r="K34" s="180"/>
      <c r="L34" s="180"/>
      <c r="M34" s="180"/>
      <c r="N34" s="180"/>
      <c r="O34" s="180"/>
    </row>
    <row r="35" spans="2:15" x14ac:dyDescent="0.15">
      <c r="B35" s="254"/>
      <c r="C35" s="202"/>
      <c r="D35" s="255"/>
      <c r="E35" s="200"/>
      <c r="F35" s="200"/>
      <c r="G35" s="197"/>
      <c r="H35" s="200"/>
      <c r="I35" s="200"/>
      <c r="J35" s="201"/>
      <c r="K35" s="180"/>
      <c r="L35" s="180"/>
      <c r="M35" s="180"/>
      <c r="N35" s="180"/>
      <c r="O35" s="180"/>
    </row>
    <row r="36" spans="2:15" x14ac:dyDescent="0.15">
      <c r="B36" s="258"/>
      <c r="C36" s="259"/>
      <c r="D36" s="260"/>
      <c r="E36" s="261"/>
      <c r="F36" s="261"/>
      <c r="G36" s="262"/>
      <c r="H36" s="261"/>
      <c r="I36" s="261"/>
      <c r="J36" s="263"/>
      <c r="K36" s="180"/>
      <c r="L36" s="180"/>
      <c r="M36" s="180"/>
      <c r="N36" s="180"/>
      <c r="O36" s="180"/>
    </row>
    <row r="37" spans="2:15" ht="16.5" customHeight="1" x14ac:dyDescent="0.15">
      <c r="B37" s="264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</row>
    <row r="38" spans="2:15" x14ac:dyDescent="0.15">
      <c r="B38" s="182" t="str">
        <f>TEXT(Company_Name,"")&amp; " - Net Present Value Sensitivity - Terminal EBITDA Multiples"</f>
        <v>Avenue Supermarts Ltd - Net Present Value Sensitivity - Terminal EBITDA Multiples</v>
      </c>
      <c r="C38" s="183"/>
      <c r="D38" s="183"/>
      <c r="E38" s="183"/>
      <c r="F38" s="183"/>
      <c r="G38" s="183"/>
      <c r="H38" s="183"/>
      <c r="I38" s="183"/>
      <c r="J38" s="184"/>
      <c r="K38" s="180"/>
      <c r="L38" s="180"/>
      <c r="M38" s="180"/>
      <c r="N38" s="180"/>
      <c r="O38" s="180"/>
    </row>
    <row r="39" spans="2:15" x14ac:dyDescent="0.15">
      <c r="B39" s="191"/>
      <c r="C39" s="192"/>
      <c r="D39" s="239" t="str">
        <f>D29</f>
        <v>Discount Rate</v>
      </c>
      <c r="E39" s="239"/>
      <c r="F39" s="239"/>
      <c r="G39" s="239"/>
      <c r="H39" s="239"/>
      <c r="I39" s="239"/>
      <c r="J39" s="240"/>
      <c r="K39" s="180"/>
      <c r="L39" s="180"/>
      <c r="M39" s="180"/>
      <c r="N39" s="180"/>
      <c r="O39" s="180"/>
    </row>
    <row r="40" spans="2:15" x14ac:dyDescent="0.15">
      <c r="B40" s="191"/>
      <c r="C40" s="241"/>
      <c r="D40" s="243"/>
      <c r="E40" s="243"/>
      <c r="F40" s="243"/>
      <c r="G40" s="244"/>
      <c r="H40" s="243"/>
      <c r="I40" s="243"/>
      <c r="J40" s="245"/>
      <c r="K40" s="180"/>
      <c r="L40" s="180"/>
      <c r="M40" s="180"/>
      <c r="N40" s="180"/>
      <c r="O40" s="180"/>
    </row>
    <row r="41" spans="2:15" x14ac:dyDescent="0.15">
      <c r="B41" s="248" t="s">
        <v>144</v>
      </c>
      <c r="C41" s="265"/>
      <c r="D41" s="250"/>
      <c r="E41" s="251"/>
      <c r="F41" s="251"/>
      <c r="G41" s="252"/>
      <c r="H41" s="251"/>
      <c r="I41" s="251"/>
      <c r="J41" s="253"/>
      <c r="K41" s="180"/>
      <c r="L41" s="180"/>
      <c r="M41" s="180"/>
      <c r="N41" s="180"/>
      <c r="O41" s="180"/>
    </row>
    <row r="42" spans="2:15" x14ac:dyDescent="0.15">
      <c r="B42" s="254"/>
      <c r="C42" s="266"/>
      <c r="D42" s="255"/>
      <c r="E42" s="200"/>
      <c r="F42" s="200"/>
      <c r="G42" s="197"/>
      <c r="H42" s="200"/>
      <c r="I42" s="200"/>
      <c r="J42" s="201"/>
      <c r="K42" s="180"/>
      <c r="L42" s="180"/>
      <c r="M42" s="180"/>
      <c r="N42" s="180"/>
      <c r="O42" s="180"/>
    </row>
    <row r="43" spans="2:15" x14ac:dyDescent="0.15">
      <c r="B43" s="254"/>
      <c r="C43" s="266"/>
      <c r="D43" s="255"/>
      <c r="E43" s="200"/>
      <c r="F43" s="200"/>
      <c r="G43" s="197"/>
      <c r="H43" s="200"/>
      <c r="I43" s="200"/>
      <c r="J43" s="201"/>
      <c r="K43" s="180"/>
      <c r="L43" s="180"/>
      <c r="M43" s="180"/>
      <c r="N43" s="180"/>
      <c r="O43" s="180"/>
    </row>
    <row r="44" spans="2:15" x14ac:dyDescent="0.15">
      <c r="B44" s="254"/>
      <c r="C44" s="267"/>
      <c r="D44" s="257"/>
      <c r="E44" s="197"/>
      <c r="F44" s="197"/>
      <c r="G44" s="197"/>
      <c r="H44" s="197"/>
      <c r="I44" s="197"/>
      <c r="J44" s="198"/>
      <c r="K44" s="180"/>
      <c r="L44" s="180"/>
      <c r="M44" s="180"/>
      <c r="N44" s="180"/>
      <c r="O44" s="180"/>
    </row>
    <row r="45" spans="2:15" x14ac:dyDescent="0.15">
      <c r="B45" s="254"/>
      <c r="C45" s="266"/>
      <c r="D45" s="255"/>
      <c r="E45" s="200"/>
      <c r="F45" s="200"/>
      <c r="G45" s="197"/>
      <c r="H45" s="200"/>
      <c r="I45" s="200"/>
      <c r="J45" s="201"/>
      <c r="K45" s="180"/>
      <c r="L45" s="180"/>
      <c r="M45" s="180"/>
      <c r="N45" s="180"/>
      <c r="O45" s="180"/>
    </row>
    <row r="46" spans="2:15" x14ac:dyDescent="0.15">
      <c r="B46" s="258"/>
      <c r="C46" s="268"/>
      <c r="D46" s="260"/>
      <c r="E46" s="261"/>
      <c r="F46" s="261"/>
      <c r="G46" s="262"/>
      <c r="H46" s="261"/>
      <c r="I46" s="261"/>
      <c r="J46" s="263"/>
      <c r="K46" s="180"/>
      <c r="L46" s="180"/>
      <c r="M46" s="180"/>
      <c r="N46" s="180"/>
      <c r="O46" s="180"/>
    </row>
  </sheetData>
  <mergeCells count="2">
    <mergeCell ref="B31:B36"/>
    <mergeCell ref="B41:B46"/>
  </mergeCells>
  <dataValidations count="2">
    <dataValidation type="whole" showInputMessage="1" showErrorMessage="1" sqref="O6" xr:uid="{33CEF394-B64F-4641-8AEF-5567D7245B75}">
      <formula1>0</formula1>
      <formula2>1</formula2>
    </dataValidation>
    <dataValidation type="whole" allowBlank="1" showInputMessage="1" showErrorMessage="1" sqref="O8" xr:uid="{C162797C-1747-A947-97DF-C2FDFBD8E292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Operating Model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Adithi Pai</cp:lastModifiedBy>
  <dcterms:created xsi:type="dcterms:W3CDTF">2022-01-21T22:37:13Z</dcterms:created>
  <dcterms:modified xsi:type="dcterms:W3CDTF">2022-01-22T01:53:27Z</dcterms:modified>
</cp:coreProperties>
</file>